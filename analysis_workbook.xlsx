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2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3.xml" ContentType="application/vnd.openxmlformats-officedocument.spreadsheetml.pivotTab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h\Desktop\descrip\Portfolio\"/>
    </mc:Choice>
  </mc:AlternateContent>
  <xr:revisionPtr revIDLastSave="0" documentId="13_ncr:9_{C81BA00E-42F4-4E08-B4D8-B6B96ED0455F}" xr6:coauthVersionLast="47" xr6:coauthVersionMax="47" xr10:uidLastSave="{00000000-0000-0000-0000-000000000000}"/>
  <bookViews>
    <workbookView xWindow="-120" yWindow="-120" windowWidth="29040" windowHeight="15720" activeTab="5" xr2:uid="{CA308CD2-EB7F-47BD-9B8B-1B80FAD23393}"/>
  </bookViews>
  <sheets>
    <sheet name="Deliverable 2 Ro" sheetId="1" r:id="rId1"/>
    <sheet name="Club(v1)" sheetId="11" r:id="rId2"/>
    <sheet name="Age(v2)" sheetId="12" r:id="rId3"/>
    <sheet name="Value(v3)" sheetId="4" r:id="rId4"/>
    <sheet name="Wage(v4)" sheetId="5" r:id="rId5"/>
    <sheet name="V2 and V3" sheetId="6" r:id="rId6"/>
    <sheet name="V2 and V4" sheetId="7" r:id="rId7"/>
    <sheet name="V3 and V4" sheetId="8" r:id="rId8"/>
  </sheets>
  <definedNames>
    <definedName name="_xlchart.v1.0" hidden="1">'Deliverable 2 Ro'!$F$1</definedName>
    <definedName name="_xlchart.v1.1" hidden="1">'Deliverable 2 Ro'!$F$2:$F$101</definedName>
    <definedName name="_xlchart.v1.2" hidden="1">'Deliverable 2 Ro'!$G$1</definedName>
    <definedName name="_xlchart.v1.3" hidden="1">'Deliverable 2 Ro'!$G$2:$G$101</definedName>
    <definedName name="_xlchart.v1.4" hidden="1">'Deliverable 2 Ro'!$G$1</definedName>
    <definedName name="_xlchart.v1.5" hidden="1">'Deliverable 2 Ro'!$G$2:$G$101</definedName>
  </definedNames>
  <calcPr calcId="0"/>
  <pivotCaches>
    <pivotCache cacheId="14" r:id="rId9"/>
    <pivotCache cacheId="33" r:id="rId10"/>
    <pivotCache cacheId="35" r:id="rId11"/>
  </pivotCaches>
</workbook>
</file>

<file path=xl/calcChain.xml><?xml version="1.0" encoding="utf-8"?>
<calcChain xmlns="http://schemas.openxmlformats.org/spreadsheetml/2006/main">
  <c r="M3" i="8" l="1"/>
</calcChain>
</file>

<file path=xl/sharedStrings.xml><?xml version="1.0" encoding="utf-8"?>
<sst xmlns="http://schemas.openxmlformats.org/spreadsheetml/2006/main" count="723" uniqueCount="271">
  <si>
    <t>Name</t>
  </si>
  <si>
    <t>Age</t>
  </si>
  <si>
    <t>Nationality</t>
  </si>
  <si>
    <t>Club</t>
  </si>
  <si>
    <t>Position</t>
  </si>
  <si>
    <t>Crossing</t>
  </si>
  <si>
    <t>Finishing</t>
  </si>
  <si>
    <t>HeadingAccuracy</t>
  </si>
  <si>
    <t>ShortPassing</t>
  </si>
  <si>
    <t>Volleys</t>
  </si>
  <si>
    <t>Dribbling</t>
  </si>
  <si>
    <t>Curve</t>
  </si>
  <si>
    <t>FKAccuracy</t>
  </si>
  <si>
    <t>LongPassing</t>
  </si>
  <si>
    <t>BallControl</t>
  </si>
  <si>
    <t>Acceleration</t>
  </si>
  <si>
    <t>SprintSpeed</t>
  </si>
  <si>
    <t>Agility</t>
  </si>
  <si>
    <t>Reactions</t>
  </si>
  <si>
    <t>Balance</t>
  </si>
  <si>
    <t>ShotPower</t>
  </si>
  <si>
    <t>Jumping</t>
  </si>
  <si>
    <t>Stamina</t>
  </si>
  <si>
    <t>Strength</t>
  </si>
  <si>
    <t>LongShots</t>
  </si>
  <si>
    <t>Aggression</t>
  </si>
  <si>
    <t>Interceptions</t>
  </si>
  <si>
    <t>Positioning</t>
  </si>
  <si>
    <t>Vision</t>
  </si>
  <si>
    <t>Penalties</t>
  </si>
  <si>
    <t>Composure</t>
  </si>
  <si>
    <t>Marking</t>
  </si>
  <si>
    <t>StandingTackle</t>
  </si>
  <si>
    <t>SlidingTackle</t>
  </si>
  <si>
    <t>GKDiving</t>
  </si>
  <si>
    <t>GKHandling</t>
  </si>
  <si>
    <t>GKKicking</t>
  </si>
  <si>
    <t>GKPositioning</t>
  </si>
  <si>
    <t>GKReflexes</t>
  </si>
  <si>
    <t>L. Messi</t>
  </si>
  <si>
    <t>Argentina</t>
  </si>
  <si>
    <t>FC Barcelona</t>
  </si>
  <si>
    <t>RF</t>
  </si>
  <si>
    <t>Cristiano Ronaldo</t>
  </si>
  <si>
    <t>Portugal</t>
  </si>
  <si>
    <t>Juventus</t>
  </si>
  <si>
    <t>ST</t>
  </si>
  <si>
    <t>Neymar Jr</t>
  </si>
  <si>
    <t>Brazil</t>
  </si>
  <si>
    <t>Paris Saint-Germain</t>
  </si>
  <si>
    <t>LW</t>
  </si>
  <si>
    <t>De Gea</t>
  </si>
  <si>
    <t>Spain</t>
  </si>
  <si>
    <t>Manchester United</t>
  </si>
  <si>
    <t>GK</t>
  </si>
  <si>
    <t>K. De Bruyne</t>
  </si>
  <si>
    <t>Belgium</t>
  </si>
  <si>
    <t>Manchester City</t>
  </si>
  <si>
    <t>RCM</t>
  </si>
  <si>
    <t>E. Hazard</t>
  </si>
  <si>
    <t>Chelsea</t>
  </si>
  <si>
    <t>LF</t>
  </si>
  <si>
    <t>L. Modri?</t>
  </si>
  <si>
    <t>Croatia</t>
  </si>
  <si>
    <t>Real Madrid</t>
  </si>
  <si>
    <t>L. Suárez</t>
  </si>
  <si>
    <t>Uruguay</t>
  </si>
  <si>
    <t>RS</t>
  </si>
  <si>
    <t>Sergio Ramos</t>
  </si>
  <si>
    <t>RCB</t>
  </si>
  <si>
    <t>J. Oblak</t>
  </si>
  <si>
    <t>Slovenia</t>
  </si>
  <si>
    <t>Atletico Madrid</t>
  </si>
  <si>
    <t>R. Lewandowski</t>
  </si>
  <si>
    <t>Poland</t>
  </si>
  <si>
    <t>FC Bayern Munich</t>
  </si>
  <si>
    <t>T. Kroos</t>
  </si>
  <si>
    <t>Germany</t>
  </si>
  <si>
    <t>LCM</t>
  </si>
  <si>
    <t>D. Godín</t>
  </si>
  <si>
    <t>CB</t>
  </si>
  <si>
    <t>David Silva</t>
  </si>
  <si>
    <t>N.Kanté</t>
  </si>
  <si>
    <t>France</t>
  </si>
  <si>
    <t>LDM</t>
  </si>
  <si>
    <t>P. Dybala</t>
  </si>
  <si>
    <t>H. Kane</t>
  </si>
  <si>
    <t>England</t>
  </si>
  <si>
    <t>Tottenham Hotspur</t>
  </si>
  <si>
    <t>A. Griezmann</t>
  </si>
  <si>
    <t>CAM</t>
  </si>
  <si>
    <t>M. ter Stegen</t>
  </si>
  <si>
    <t>T. Courtois</t>
  </si>
  <si>
    <t>Sergio Busquets</t>
  </si>
  <si>
    <t>CDM</t>
  </si>
  <si>
    <t>E. Cavani</t>
  </si>
  <si>
    <t>LS</t>
  </si>
  <si>
    <t>M. Neuer</t>
  </si>
  <si>
    <t>S. Agüero</t>
  </si>
  <si>
    <t>G. Chiellini</t>
  </si>
  <si>
    <t>Italy</t>
  </si>
  <si>
    <t>LCB</t>
  </si>
  <si>
    <t>K. Mbappé</t>
  </si>
  <si>
    <t>RM</t>
  </si>
  <si>
    <t>M. Salah</t>
  </si>
  <si>
    <t>Egypt</t>
  </si>
  <si>
    <t>Liverpool</t>
  </si>
  <si>
    <t>Casemiro</t>
  </si>
  <si>
    <t>J. Rodríguez</t>
  </si>
  <si>
    <t>Colombia</t>
  </si>
  <si>
    <t>LAM</t>
  </si>
  <si>
    <t>L. Insigne</t>
  </si>
  <si>
    <t>Napoli</t>
  </si>
  <si>
    <t>Isco</t>
  </si>
  <si>
    <t>C. Eriksen</t>
  </si>
  <si>
    <t>Denmark</t>
  </si>
  <si>
    <t>Coutinho</t>
  </si>
  <si>
    <t>P. Aubameyang</t>
  </si>
  <si>
    <t>Gabon</t>
  </si>
  <si>
    <t>Arsenal</t>
  </si>
  <si>
    <t>LM</t>
  </si>
  <si>
    <t>M. Hummels</t>
  </si>
  <si>
    <t>Marcelo</t>
  </si>
  <si>
    <t>LB</t>
  </si>
  <si>
    <t>G. Bale</t>
  </si>
  <si>
    <t>Wales</t>
  </si>
  <si>
    <t>H. Lloris</t>
  </si>
  <si>
    <t>G. Higuaín</t>
  </si>
  <si>
    <t>Milan</t>
  </si>
  <si>
    <t>Thiago Silva</t>
  </si>
  <si>
    <t>S. HandanoviÄ</t>
  </si>
  <si>
    <t>Inter</t>
  </si>
  <si>
    <t>G. Buffon</t>
  </si>
  <si>
    <t>S. Umtiti</t>
  </si>
  <si>
    <t>M. Icardi</t>
  </si>
  <si>
    <t>K. Koulibaly</t>
  </si>
  <si>
    <t>Senegal</t>
  </si>
  <si>
    <t>P. Pogba</t>
  </si>
  <si>
    <t>RDM</t>
  </si>
  <si>
    <t>K. Navas</t>
  </si>
  <si>
    <t>Costa Rica</t>
  </si>
  <si>
    <t>R. Lukaku</t>
  </si>
  <si>
    <t>C. Immobile</t>
  </si>
  <si>
    <t>Lazio</t>
  </si>
  <si>
    <t>Jordi Alba</t>
  </si>
  <si>
    <t>D. Mertens</t>
  </si>
  <si>
    <t>J. Vertonghen</t>
  </si>
  <si>
    <t>M. Hamšík</t>
  </si>
  <si>
    <t>Slovakia</t>
  </si>
  <si>
    <t>I. Rakiti?</t>
  </si>
  <si>
    <t>Piqué</t>
  </si>
  <si>
    <t>L. Sané</t>
  </si>
  <si>
    <t>Bernardo Silva</t>
  </si>
  <si>
    <t>RW</t>
  </si>
  <si>
    <t>Ederson</t>
  </si>
  <si>
    <t>S. Mané</t>
  </si>
  <si>
    <t>V. van Dijk</t>
  </si>
  <si>
    <t>Netherlands</t>
  </si>
  <si>
    <t>R. Sterling</t>
  </si>
  <si>
    <t>Roberto Firmino</t>
  </si>
  <si>
    <t>R. Varane</t>
  </si>
  <si>
    <t>M. Verratti</t>
  </si>
  <si>
    <t>Alex Sandro</t>
  </si>
  <si>
    <t>Douglas Costa</t>
  </si>
  <si>
    <t>T. Muller</t>
  </si>
  <si>
    <t>Thiago</t>
  </si>
  <si>
    <t>CM</t>
  </si>
  <si>
    <t>M. Reus</t>
  </si>
  <si>
    <t>Borussia Dortmund</t>
  </si>
  <si>
    <t>Azpilicueta</t>
  </si>
  <si>
    <t>RB</t>
  </si>
  <si>
    <t>L. Bonucci</t>
  </si>
  <si>
    <t>T. Alderweireld</t>
  </si>
  <si>
    <t>M. Pjani?</t>
  </si>
  <si>
    <t>Bosnia Herzegovina</t>
  </si>
  <si>
    <t>M. Benatia</t>
  </si>
  <si>
    <t>Morocco</t>
  </si>
  <si>
    <t>M. Ozil</t>
  </si>
  <si>
    <t>Fernandinho</t>
  </si>
  <si>
    <t>Iniesta</t>
  </si>
  <si>
    <t>Vissel Kobe</t>
  </si>
  <si>
    <t>M. Škriniar</t>
  </si>
  <si>
    <t>S. Milinkovi?-Savi?</t>
  </si>
  <si>
    <t>Serbia</t>
  </si>
  <si>
    <t>Marco Asensio</t>
  </si>
  <si>
    <t>N. Fekir</t>
  </si>
  <si>
    <t>Olympique Lyonnais</t>
  </si>
  <si>
    <t>Alisson</t>
  </si>
  <si>
    <t>J. Kimmich</t>
  </si>
  <si>
    <t>Saúl</t>
  </si>
  <si>
    <t>R. Mahrez</t>
  </si>
  <si>
    <t>Algeria</t>
  </si>
  <si>
    <t>D. Alaba</t>
  </si>
  <si>
    <t>Austria</t>
  </si>
  <si>
    <t>Koke</t>
  </si>
  <si>
    <t>A. Lacazette</t>
  </si>
  <si>
    <t>K. Manolas</t>
  </si>
  <si>
    <t>Greece</t>
  </si>
  <si>
    <t>Roma</t>
  </si>
  <si>
    <t>N. Otamendi</t>
  </si>
  <si>
    <t>Parejo</t>
  </si>
  <si>
    <t>Valencia CF</t>
  </si>
  <si>
    <t>bernardo Silva</t>
  </si>
  <si>
    <t>Guangzhou Evergrande Taobao FC</t>
  </si>
  <si>
    <t>W. Szcz?sny</t>
  </si>
  <si>
    <t>A. SÃnchez</t>
  </si>
  <si>
    <t>Chile</t>
  </si>
  <si>
    <t>Y. Brahimi</t>
  </si>
  <si>
    <t>FC Porto</t>
  </si>
  <si>
    <t>J. Boateng</t>
  </si>
  <si>
    <t>A. Vidal</t>
  </si>
  <si>
    <t>I. Periši?</t>
  </si>
  <si>
    <t>E. Džeko</t>
  </si>
  <si>
    <t>S. Khedira</t>
  </si>
  <si>
    <t>Value(v3)</t>
  </si>
  <si>
    <t>Wage(v4)</t>
  </si>
  <si>
    <t>Row Labels</t>
  </si>
  <si>
    <t>Grand Total</t>
  </si>
  <si>
    <t>Column Labels</t>
  </si>
  <si>
    <t>Count of Name</t>
  </si>
  <si>
    <t>Age(v1)</t>
  </si>
  <si>
    <t>Club(v2)</t>
  </si>
  <si>
    <t>4000000-13999999</t>
  </si>
  <si>
    <t>14000000-23999999</t>
  </si>
  <si>
    <t>24000000-33999999</t>
  </si>
  <si>
    <t>34000000-43999999</t>
  </si>
  <si>
    <t>44000000-53999999</t>
  </si>
  <si>
    <t>54000000-63999999</t>
  </si>
  <si>
    <t>64000000-73999999</t>
  </si>
  <si>
    <t>74000000-83999999</t>
  </si>
  <si>
    <t>84000000-93999999</t>
  </si>
  <si>
    <t>94000000-103999999</t>
  </si>
  <si>
    <t>104000000-113999999</t>
  </si>
  <si>
    <t>114000000-123999999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</si>
  <si>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</si>
  <si>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</si>
  <si>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</si>
  <si>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</si>
  <si>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</si>
  <si>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</si>
  <si>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</si>
  <si>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</si>
  <si>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</si>
  <si>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</si>
  <si>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</si>
  <si>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</si>
  <si>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</si>
  <si>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Descriptive Statastics of Market Value</t>
  </si>
  <si>
    <t>21000-70999</t>
  </si>
  <si>
    <t>71000-120999</t>
  </si>
  <si>
    <t>121000-170999</t>
  </si>
  <si>
    <t>171000-220999</t>
  </si>
  <si>
    <t>221000-270999</t>
  </si>
  <si>
    <t>271000-320999</t>
  </si>
  <si>
    <t>321000-370999</t>
  </si>
  <si>
    <t>371000-420999</t>
  </si>
  <si>
    <t>&gt;421000</t>
  </si>
  <si>
    <t xml:space="preserve">Percentage </t>
  </si>
  <si>
    <t>Player Wage Descriptive Statastics</t>
  </si>
  <si>
    <t>Club(v1)</t>
  </si>
  <si>
    <t>Age(v2)</t>
  </si>
  <si>
    <t>19-20</t>
  </si>
  <si>
    <t>21-22</t>
  </si>
  <si>
    <t>23-24</t>
  </si>
  <si>
    <t>25-26</t>
  </si>
  <si>
    <t>27-28</t>
  </si>
  <si>
    <t>29-30</t>
  </si>
  <si>
    <t>31-32</t>
  </si>
  <si>
    <t>33-34</t>
  </si>
  <si>
    <t>39-40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</si>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</sst>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Continuous"/>
    </xf>
    <xf numFmtId="0" fontId="0" fillId="0" borderId="0" xfId="0"/>
    <xf numFmtId="0" fontId="0" fillId="0" borderId="0" xfId="0" pivotButton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Players</a:t>
            </a:r>
            <a:r>
              <a:rPr lang="en-US" baseline="0"/>
              <a:t> in a club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3"/>
              <c:pt idx="0">
                <c:v>Arsenal</c:v>
              </c:pt>
              <c:pt idx="1">
                <c:v>Borussia Dortmund</c:v>
              </c:pt>
              <c:pt idx="2">
                <c:v>Chelsea</c:v>
              </c:pt>
              <c:pt idx="3">
                <c:v>FC Barcelona</c:v>
              </c:pt>
              <c:pt idx="4">
                <c:v>FC Porto</c:v>
              </c:pt>
              <c:pt idx="5">
                <c:v>Guangzhou Evergrande Taobao FC</c:v>
              </c:pt>
              <c:pt idx="6">
                <c:v>Inter</c:v>
              </c:pt>
              <c:pt idx="7">
                <c:v>Juventus</c:v>
              </c:pt>
              <c:pt idx="8">
                <c:v>Lazio</c:v>
              </c:pt>
              <c:pt idx="9">
                <c:v>Liverpool</c:v>
              </c:pt>
              <c:pt idx="10">
                <c:v>Manchester City</c:v>
              </c:pt>
              <c:pt idx="11">
                <c:v>Manchester United</c:v>
              </c:pt>
              <c:pt idx="12">
                <c:v>Milan</c:v>
              </c:pt>
              <c:pt idx="13">
                <c:v>Napoli</c:v>
              </c:pt>
              <c:pt idx="14">
                <c:v>Olympique Lyonnais</c:v>
              </c:pt>
              <c:pt idx="15">
                <c:v>Paris Saint-Germain</c:v>
              </c:pt>
              <c:pt idx="16">
                <c:v>Real Madrid</c:v>
              </c:pt>
              <c:pt idx="17">
                <c:v>Roma</c:v>
              </c:pt>
              <c:pt idx="18">
                <c:v>Tottenham Hotspur</c:v>
              </c:pt>
              <c:pt idx="19">
                <c:v>Valencia CF</c:v>
              </c:pt>
              <c:pt idx="20">
                <c:v>Vissel Kobe</c:v>
              </c:pt>
              <c:pt idx="21">
                <c:v>Atletico Madrid</c:v>
              </c:pt>
              <c:pt idx="22">
                <c:v>FC Bayern Munich</c:v>
              </c:pt>
            </c:strLit>
          </c:cat>
          <c:val>
            <c:numLit>
              <c:formatCode>General</c:formatCode>
              <c:ptCount val="23"/>
              <c:pt idx="0">
                <c:v>3</c:v>
              </c:pt>
              <c:pt idx="1">
                <c:v>1</c:v>
              </c:pt>
              <c:pt idx="2">
                <c:v>3</c:v>
              </c:pt>
              <c:pt idx="3">
                <c:v>10</c:v>
              </c:pt>
              <c:pt idx="4">
                <c:v>1</c:v>
              </c:pt>
              <c:pt idx="5">
                <c:v>1</c:v>
              </c:pt>
              <c:pt idx="6">
                <c:v>4</c:v>
              </c:pt>
              <c:pt idx="7">
                <c:v>10</c:v>
              </c:pt>
              <c:pt idx="8">
                <c:v>2</c:v>
              </c:pt>
              <c:pt idx="9">
                <c:v>5</c:v>
              </c:pt>
              <c:pt idx="10">
                <c:v>10</c:v>
              </c:pt>
              <c:pt idx="11">
                <c:v>4</c:v>
              </c:pt>
              <c:pt idx="12">
                <c:v>1</c:v>
              </c:pt>
              <c:pt idx="13">
                <c:v>4</c:v>
              </c:pt>
              <c:pt idx="14">
                <c:v>1</c:v>
              </c:pt>
              <c:pt idx="15">
                <c:v>6</c:v>
              </c:pt>
              <c:pt idx="16">
                <c:v>11</c:v>
              </c:pt>
              <c:pt idx="17">
                <c:v>2</c:v>
              </c:pt>
              <c:pt idx="18">
                <c:v>5</c:v>
              </c:pt>
              <c:pt idx="19">
                <c:v>1</c:v>
              </c:pt>
              <c:pt idx="20">
                <c:v>1</c:v>
              </c:pt>
              <c:pt idx="21">
                <c:v>5</c:v>
              </c:pt>
              <c:pt idx="22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0-EF6D-4CE1-BF74-0A818284D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8567104"/>
        <c:axId val="1108566144"/>
      </c:barChart>
      <c:catAx>
        <c:axId val="11085671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566144"/>
        <c:crosses val="autoZero"/>
        <c:auto val="1"/>
        <c:lblAlgn val="ctr"/>
        <c:lblOffset val="100"/>
        <c:noMultiLvlLbl val="0"/>
      </c:catAx>
      <c:valAx>
        <c:axId val="1108566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players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56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distribution players in a club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3"/>
              <c:pt idx="0">
                <c:v>Arsenal</c:v>
              </c:pt>
              <c:pt idx="1">
                <c:v>Borussia Dortmund</c:v>
              </c:pt>
              <c:pt idx="2">
                <c:v>Chelsea</c:v>
              </c:pt>
              <c:pt idx="3">
                <c:v>FC Barcelona</c:v>
              </c:pt>
              <c:pt idx="4">
                <c:v>FC Porto</c:v>
              </c:pt>
              <c:pt idx="5">
                <c:v>Guangzhou Evergrande Taobao FC</c:v>
              </c:pt>
              <c:pt idx="6">
                <c:v>Inter</c:v>
              </c:pt>
              <c:pt idx="7">
                <c:v>Juventus</c:v>
              </c:pt>
              <c:pt idx="8">
                <c:v>Lazio</c:v>
              </c:pt>
              <c:pt idx="9">
                <c:v>Liverpool</c:v>
              </c:pt>
              <c:pt idx="10">
                <c:v>Manchester City</c:v>
              </c:pt>
              <c:pt idx="11">
                <c:v>Manchester United</c:v>
              </c:pt>
              <c:pt idx="12">
                <c:v>Milan</c:v>
              </c:pt>
              <c:pt idx="13">
                <c:v>Napoli</c:v>
              </c:pt>
              <c:pt idx="14">
                <c:v>Olympique Lyonnais</c:v>
              </c:pt>
              <c:pt idx="15">
                <c:v>Paris Saint-Germain</c:v>
              </c:pt>
              <c:pt idx="16">
                <c:v>Real Madrid</c:v>
              </c:pt>
              <c:pt idx="17">
                <c:v>Roma</c:v>
              </c:pt>
              <c:pt idx="18">
                <c:v>Tottenham Hotspur</c:v>
              </c:pt>
              <c:pt idx="19">
                <c:v>Valencia CF</c:v>
              </c:pt>
              <c:pt idx="20">
                <c:v>Vissel Kobe</c:v>
              </c:pt>
              <c:pt idx="21">
                <c:v>Atletico Madrid</c:v>
              </c:pt>
              <c:pt idx="22">
                <c:v>FC Bayern Munich</c:v>
              </c:pt>
            </c:strLit>
          </c:cat>
          <c:val>
            <c:numLit>
              <c:formatCode>General</c:formatCode>
              <c:ptCount val="23"/>
              <c:pt idx="0">
                <c:v>0.03</c:v>
              </c:pt>
              <c:pt idx="1">
                <c:v>0.01</c:v>
              </c:pt>
              <c:pt idx="2">
                <c:v>0.03</c:v>
              </c:pt>
              <c:pt idx="3">
                <c:v>0.1</c:v>
              </c:pt>
              <c:pt idx="4">
                <c:v>0.01</c:v>
              </c:pt>
              <c:pt idx="5">
                <c:v>0.01</c:v>
              </c:pt>
              <c:pt idx="6">
                <c:v>0.04</c:v>
              </c:pt>
              <c:pt idx="7">
                <c:v>0.1</c:v>
              </c:pt>
              <c:pt idx="8">
                <c:v>0.02</c:v>
              </c:pt>
              <c:pt idx="9">
                <c:v>0.05</c:v>
              </c:pt>
              <c:pt idx="10">
                <c:v>0.1</c:v>
              </c:pt>
              <c:pt idx="11">
                <c:v>0.04</c:v>
              </c:pt>
              <c:pt idx="12">
                <c:v>0.01</c:v>
              </c:pt>
              <c:pt idx="13">
                <c:v>0.04</c:v>
              </c:pt>
              <c:pt idx="14">
                <c:v>0.01</c:v>
              </c:pt>
              <c:pt idx="15">
                <c:v>0.06</c:v>
              </c:pt>
              <c:pt idx="16">
                <c:v>0.11</c:v>
              </c:pt>
              <c:pt idx="17">
                <c:v>0.02</c:v>
              </c:pt>
              <c:pt idx="18">
                <c:v>0.05</c:v>
              </c:pt>
              <c:pt idx="19">
                <c:v>0.01</c:v>
              </c:pt>
              <c:pt idx="20">
                <c:v>0.01</c:v>
              </c:pt>
              <c:pt idx="21">
                <c:v>0.05</c:v>
              </c:pt>
              <c:pt idx="22">
                <c:v>0.09</c:v>
              </c:pt>
            </c:numLit>
          </c:val>
          <c:extLst>
            <c:ext xmlns:c16="http://schemas.microsoft.com/office/drawing/2014/chart" uri="{C3380CC4-5D6E-409C-BE32-E72D297353CC}">
              <c16:uniqueId val="{00000000-F493-4F80-9001-FEAE1AF08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3201791"/>
        <c:axId val="1153215711"/>
      </c:barChart>
      <c:catAx>
        <c:axId val="1153201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15711"/>
        <c:crosses val="autoZero"/>
        <c:auto val="1"/>
        <c:lblAlgn val="ctr"/>
        <c:lblOffset val="100"/>
        <c:noMultiLvlLbl val="0"/>
      </c:catAx>
      <c:valAx>
        <c:axId val="1153215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  <a:r>
                  <a:rPr lang="en-US" baseline="0"/>
                  <a:t> of players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01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of players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19</c:v>
              </c:pt>
              <c:pt idx="1">
                <c:v>22</c:v>
              </c:pt>
              <c:pt idx="2">
                <c:v>23</c:v>
              </c:pt>
              <c:pt idx="3">
                <c:v>24</c:v>
              </c:pt>
              <c:pt idx="4">
                <c:v>25</c:v>
              </c:pt>
              <c:pt idx="5">
                <c:v>26</c:v>
              </c:pt>
              <c:pt idx="6">
                <c:v>27</c:v>
              </c:pt>
              <c:pt idx="7">
                <c:v>28</c:v>
              </c:pt>
              <c:pt idx="8">
                <c:v>29</c:v>
              </c:pt>
              <c:pt idx="9">
                <c:v>30</c:v>
              </c:pt>
              <c:pt idx="10">
                <c:v>31</c:v>
              </c:pt>
              <c:pt idx="11">
                <c:v>32</c:v>
              </c:pt>
              <c:pt idx="12">
                <c:v>33</c:v>
              </c:pt>
              <c:pt idx="13">
                <c:v>34</c:v>
              </c:pt>
              <c:pt idx="14">
                <c:v>40</c:v>
              </c:pt>
            </c:strLit>
          </c:cat>
          <c:val>
            <c:numLit>
              <c:formatCode>General</c:formatCode>
              <c:ptCount val="15"/>
              <c:pt idx="0">
                <c:v>1</c:v>
              </c:pt>
              <c:pt idx="1">
                <c:v>2</c:v>
              </c:pt>
              <c:pt idx="2">
                <c:v>6</c:v>
              </c:pt>
              <c:pt idx="3">
                <c:v>5</c:v>
              </c:pt>
              <c:pt idx="4">
                <c:v>7</c:v>
              </c:pt>
              <c:pt idx="5">
                <c:v>14</c:v>
              </c:pt>
              <c:pt idx="6">
                <c:v>13</c:v>
              </c:pt>
              <c:pt idx="7">
                <c:v>8</c:v>
              </c:pt>
              <c:pt idx="8">
                <c:v>13</c:v>
              </c:pt>
              <c:pt idx="9">
                <c:v>6</c:v>
              </c:pt>
              <c:pt idx="10">
                <c:v>12</c:v>
              </c:pt>
              <c:pt idx="11">
                <c:v>6</c:v>
              </c:pt>
              <c:pt idx="12">
                <c:v>5</c:v>
              </c:pt>
              <c:pt idx="13">
                <c:v>1</c:v>
              </c:pt>
              <c:pt idx="14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DD9D-42E8-93FA-3E9DE1EEB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0845359"/>
        <c:axId val="1280845839"/>
      </c:barChart>
      <c:catAx>
        <c:axId val="12808453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845839"/>
        <c:crosses val="autoZero"/>
        <c:auto val="1"/>
        <c:lblAlgn val="ctr"/>
        <c:lblOffset val="100"/>
        <c:noMultiLvlLbl val="0"/>
      </c:catAx>
      <c:valAx>
        <c:axId val="1280845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  <a:r>
                  <a:rPr lang="en-US" baseline="0"/>
                  <a:t> of players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84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distribution of age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19</c:v>
              </c:pt>
              <c:pt idx="1">
                <c:v>22</c:v>
              </c:pt>
              <c:pt idx="2">
                <c:v>23</c:v>
              </c:pt>
              <c:pt idx="3">
                <c:v>24</c:v>
              </c:pt>
              <c:pt idx="4">
                <c:v>25</c:v>
              </c:pt>
              <c:pt idx="5">
                <c:v>26</c:v>
              </c:pt>
              <c:pt idx="6">
                <c:v>27</c:v>
              </c:pt>
              <c:pt idx="7">
                <c:v>28</c:v>
              </c:pt>
              <c:pt idx="8">
                <c:v>29</c:v>
              </c:pt>
              <c:pt idx="9">
                <c:v>30</c:v>
              </c:pt>
              <c:pt idx="10">
                <c:v>31</c:v>
              </c:pt>
              <c:pt idx="11">
                <c:v>32</c:v>
              </c:pt>
              <c:pt idx="12">
                <c:v>33</c:v>
              </c:pt>
              <c:pt idx="13">
                <c:v>34</c:v>
              </c:pt>
              <c:pt idx="14">
                <c:v>40</c:v>
              </c:pt>
            </c:strLit>
          </c:cat>
          <c:val>
            <c:numLit>
              <c:formatCode>General</c:formatCode>
              <c:ptCount val="15"/>
              <c:pt idx="0">
                <c:v>0.01</c:v>
              </c:pt>
              <c:pt idx="1">
                <c:v>0.02</c:v>
              </c:pt>
              <c:pt idx="2">
                <c:v>0.06</c:v>
              </c:pt>
              <c:pt idx="3">
                <c:v>0.05</c:v>
              </c:pt>
              <c:pt idx="4">
                <c:v>7.0000000000000007E-2</c:v>
              </c:pt>
              <c:pt idx="5">
                <c:v>0.14000000000000001</c:v>
              </c:pt>
              <c:pt idx="6">
                <c:v>0.13</c:v>
              </c:pt>
              <c:pt idx="7">
                <c:v>0.08</c:v>
              </c:pt>
              <c:pt idx="8">
                <c:v>0.13</c:v>
              </c:pt>
              <c:pt idx="9">
                <c:v>0.06</c:v>
              </c:pt>
              <c:pt idx="10">
                <c:v>0.12</c:v>
              </c:pt>
              <c:pt idx="11">
                <c:v>0.06</c:v>
              </c:pt>
              <c:pt idx="12">
                <c:v>0.05</c:v>
              </c:pt>
              <c:pt idx="13">
                <c:v>0.01</c:v>
              </c:pt>
              <c:pt idx="14">
                <c:v>0.01</c:v>
              </c:pt>
            </c:numLit>
          </c:val>
          <c:extLst>
            <c:ext xmlns:c16="http://schemas.microsoft.com/office/drawing/2014/chart" uri="{C3380CC4-5D6E-409C-BE32-E72D297353CC}">
              <c16:uniqueId val="{00000000-A2AD-4767-A26D-A29CAB875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3544575"/>
        <c:axId val="1153541215"/>
      </c:barChart>
      <c:catAx>
        <c:axId val="11535445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541215"/>
        <c:crosses val="autoZero"/>
        <c:auto val="1"/>
        <c:lblAlgn val="ctr"/>
        <c:lblOffset val="100"/>
        <c:noMultiLvlLbl val="0"/>
      </c:catAx>
      <c:valAx>
        <c:axId val="1153541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players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54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[Deliverable 2 Ro.xlsx]Value(v3)!PivotTable4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Player Market Value 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tx2">
                <a:lumMod val="10000"/>
                <a:lumOff val="90000"/>
              </a:schemeClr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2416067043389097E-2"/>
          <c:y val="0.13756140782270393"/>
          <c:w val="0.93211197633931708"/>
          <c:h val="0.69804990190518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'Value(v3)'!$B$19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tx2">
                    <a:lumMod val="10000"/>
                    <a:lumOff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222-415F-82D3-8FEFAF3BA6D4}"/>
              </c:ext>
            </c:extLst>
          </c:dPt>
          <c:cat>
            <c:strRef>
              <c:f>'Value(v3)'!$A$20:$A$32</c:f>
              <c:strCache>
                <c:ptCount val="12"/>
                <c:pt idx="0">
                  <c:v>4000000-13999999</c:v>
                </c:pt>
                <c:pt idx="1">
                  <c:v>14000000-23999999</c:v>
                </c:pt>
                <c:pt idx="2">
                  <c:v>24000000-33999999</c:v>
                </c:pt>
                <c:pt idx="3">
                  <c:v>34000000-43999999</c:v>
                </c:pt>
                <c:pt idx="4">
                  <c:v>44000000-53999999</c:v>
                </c:pt>
                <c:pt idx="5">
                  <c:v>54000000-63999999</c:v>
                </c:pt>
                <c:pt idx="6">
                  <c:v>64000000-73999999</c:v>
                </c:pt>
                <c:pt idx="7">
                  <c:v>74000000-83999999</c:v>
                </c:pt>
                <c:pt idx="8">
                  <c:v>84000000-93999999</c:v>
                </c:pt>
                <c:pt idx="9">
                  <c:v>94000000-103999999</c:v>
                </c:pt>
                <c:pt idx="10">
                  <c:v>104000000-113999999</c:v>
                </c:pt>
                <c:pt idx="11">
                  <c:v>114000000-123999999</c:v>
                </c:pt>
              </c:strCache>
            </c:strRef>
          </c:cat>
          <c:val>
            <c:numRef>
              <c:f>'Value(v3)'!$B$20:$B$32</c:f>
              <c:numCache>
                <c:formatCode>0.00%</c:formatCode>
                <c:ptCount val="12"/>
                <c:pt idx="0">
                  <c:v>0.01</c:v>
                </c:pt>
                <c:pt idx="1">
                  <c:v>0.02</c:v>
                </c:pt>
                <c:pt idx="2">
                  <c:v>0.12</c:v>
                </c:pt>
                <c:pt idx="3">
                  <c:v>0.22</c:v>
                </c:pt>
                <c:pt idx="4">
                  <c:v>0.24</c:v>
                </c:pt>
                <c:pt idx="5">
                  <c:v>0.16</c:v>
                </c:pt>
                <c:pt idx="6">
                  <c:v>0.11</c:v>
                </c:pt>
                <c:pt idx="7">
                  <c:v>7.0000000000000007E-2</c:v>
                </c:pt>
                <c:pt idx="8">
                  <c:v>0.02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2-415F-82D3-8FEFAF3BA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81632672"/>
        <c:axId val="1181620672"/>
      </c:barChart>
      <c:catAx>
        <c:axId val="1181632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Market</a:t>
                </a:r>
                <a:r>
                  <a:rPr lang="en-IN" baseline="0"/>
                  <a:t> Value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620672"/>
        <c:crosses val="autoZero"/>
        <c:auto val="1"/>
        <c:lblAlgn val="ctr"/>
        <c:lblOffset val="100"/>
        <c:noMultiLvlLbl val="0"/>
      </c:catAx>
      <c:valAx>
        <c:axId val="11816206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  <a:r>
                  <a:rPr lang="en-IN" baseline="0"/>
                  <a:t> Percentage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632672"/>
        <c:crosses val="autoZero"/>
        <c:crossBetween val="between"/>
      </c:valAx>
      <c:spPr>
        <a:noFill/>
        <a:ln>
          <a:solidFill>
            <a:schemeClr val="accent1">
              <a:lumMod val="20000"/>
              <a:lumOff val="80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[Deliverable 2 Ro.xlsx]Wage(v4)!PivotTable6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Player</a:t>
            </a:r>
            <a:r>
              <a:rPr lang="en-US" baseline="0"/>
              <a:t> Wage Histogram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'Wage(v4)'!$B$14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'Wage(v4)'!$A$15:$A$24</c:f>
              <c:strCache>
                <c:ptCount val="9"/>
                <c:pt idx="0">
                  <c:v>21000-70999</c:v>
                </c:pt>
                <c:pt idx="1">
                  <c:v>71000-120999</c:v>
                </c:pt>
                <c:pt idx="2">
                  <c:v>121000-170999</c:v>
                </c:pt>
                <c:pt idx="3">
                  <c:v>171000-220999</c:v>
                </c:pt>
                <c:pt idx="4">
                  <c:v>221000-270999</c:v>
                </c:pt>
                <c:pt idx="5">
                  <c:v>271000-320999</c:v>
                </c:pt>
                <c:pt idx="6">
                  <c:v>321000-370999</c:v>
                </c:pt>
                <c:pt idx="7">
                  <c:v>371000-420999</c:v>
                </c:pt>
                <c:pt idx="8">
                  <c:v>&gt;421000</c:v>
                </c:pt>
              </c:strCache>
            </c:strRef>
          </c:cat>
          <c:val>
            <c:numRef>
              <c:f>'Wage(v4)'!$B$15:$B$24</c:f>
              <c:numCache>
                <c:formatCode>0.00%</c:formatCode>
                <c:ptCount val="9"/>
                <c:pt idx="0">
                  <c:v>0.03</c:v>
                </c:pt>
                <c:pt idx="1">
                  <c:v>0.19</c:v>
                </c:pt>
                <c:pt idx="2">
                  <c:v>0.23</c:v>
                </c:pt>
                <c:pt idx="3">
                  <c:v>0.25</c:v>
                </c:pt>
                <c:pt idx="4">
                  <c:v>0.12</c:v>
                </c:pt>
                <c:pt idx="5">
                  <c:v>0.08</c:v>
                </c:pt>
                <c:pt idx="6">
                  <c:v>0.05</c:v>
                </c:pt>
                <c:pt idx="7">
                  <c:v>0.03</c:v>
                </c:pt>
                <c:pt idx="8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6-426D-95D1-BE85D34AB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56386656"/>
        <c:axId val="1256389056"/>
      </c:barChart>
      <c:catAx>
        <c:axId val="1256386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389056"/>
        <c:crosses val="autoZero"/>
        <c:auto val="1"/>
        <c:lblAlgn val="ctr"/>
        <c:lblOffset val="100"/>
        <c:noMultiLvlLbl val="0"/>
      </c:catAx>
      <c:valAx>
        <c:axId val="12563890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Wage</a:t>
                </a:r>
                <a:r>
                  <a:rPr lang="en-IN" baseline="0"/>
                  <a:t> Perecntage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38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[Deliverable 2 Ro.xlsx]V2 and V3!PivotTable7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Bar</a:t>
            </a:r>
            <a:r>
              <a:rPr lang="en-IN" baseline="0"/>
              <a:t> chart of market value of differnt age groups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'V2 and V3'!$B$2:$B$3</c:f>
              <c:strCache>
                <c:ptCount val="1"/>
                <c:pt idx="0">
                  <c:v>19-20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'V2 and V3'!$A$4:$A$16</c:f>
              <c:strCache>
                <c:ptCount val="12"/>
                <c:pt idx="0">
                  <c:v>4000000-13999999</c:v>
                </c:pt>
                <c:pt idx="1">
                  <c:v>14000000-23999999</c:v>
                </c:pt>
                <c:pt idx="2">
                  <c:v>24000000-33999999</c:v>
                </c:pt>
                <c:pt idx="3">
                  <c:v>34000000-43999999</c:v>
                </c:pt>
                <c:pt idx="4">
                  <c:v>44000000-53999999</c:v>
                </c:pt>
                <c:pt idx="5">
                  <c:v>54000000-63999999</c:v>
                </c:pt>
                <c:pt idx="6">
                  <c:v>64000000-73999999</c:v>
                </c:pt>
                <c:pt idx="7">
                  <c:v>74000000-83999999</c:v>
                </c:pt>
                <c:pt idx="8">
                  <c:v>84000000-93999999</c:v>
                </c:pt>
                <c:pt idx="9">
                  <c:v>94000000-103999999</c:v>
                </c:pt>
                <c:pt idx="10">
                  <c:v>104000000-113999999</c:v>
                </c:pt>
                <c:pt idx="11">
                  <c:v>114000000-123999999</c:v>
                </c:pt>
              </c:strCache>
            </c:strRef>
          </c:cat>
          <c:val>
            <c:numRef>
              <c:f>'V2 and V3'!$B$4:$B$16</c:f>
              <c:numCache>
                <c:formatCode>General</c:formatCode>
                <c:ptCount val="12"/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3-4F51-A424-BDE7548C0D63}"/>
            </c:ext>
          </c:extLst>
        </c:ser>
        <c:ser>
          <c:idx val="1"/>
          <c:order val="1"/>
          <c:tx>
            <c:strRef>
              <c:f>'V2 and V3'!$C$2:$C$3</c:f>
              <c:strCache>
                <c:ptCount val="1"/>
                <c:pt idx="0">
                  <c:v>21-22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'V2 and V3'!$A$4:$A$16</c:f>
              <c:strCache>
                <c:ptCount val="12"/>
                <c:pt idx="0">
                  <c:v>4000000-13999999</c:v>
                </c:pt>
                <c:pt idx="1">
                  <c:v>14000000-23999999</c:v>
                </c:pt>
                <c:pt idx="2">
                  <c:v>24000000-33999999</c:v>
                </c:pt>
                <c:pt idx="3">
                  <c:v>34000000-43999999</c:v>
                </c:pt>
                <c:pt idx="4">
                  <c:v>44000000-53999999</c:v>
                </c:pt>
                <c:pt idx="5">
                  <c:v>54000000-63999999</c:v>
                </c:pt>
                <c:pt idx="6">
                  <c:v>64000000-73999999</c:v>
                </c:pt>
                <c:pt idx="7">
                  <c:v>74000000-83999999</c:v>
                </c:pt>
                <c:pt idx="8">
                  <c:v>84000000-93999999</c:v>
                </c:pt>
                <c:pt idx="9">
                  <c:v>94000000-103999999</c:v>
                </c:pt>
                <c:pt idx="10">
                  <c:v>104000000-113999999</c:v>
                </c:pt>
                <c:pt idx="11">
                  <c:v>114000000-123999999</c:v>
                </c:pt>
              </c:strCache>
            </c:strRef>
          </c:cat>
          <c:val>
            <c:numRef>
              <c:f>'V2 and V3'!$C$4:$C$16</c:f>
              <c:numCache>
                <c:formatCode>General</c:formatCode>
                <c:ptCount val="12"/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E3-4F51-A424-BDE7548C0D63}"/>
            </c:ext>
          </c:extLst>
        </c:ser>
        <c:ser>
          <c:idx val="2"/>
          <c:order val="2"/>
          <c:tx>
            <c:strRef>
              <c:f>'V2 and V3'!$D$2:$D$3</c:f>
              <c:strCache>
                <c:ptCount val="1"/>
                <c:pt idx="0">
                  <c:v>23-24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'V2 and V3'!$A$4:$A$16</c:f>
              <c:strCache>
                <c:ptCount val="12"/>
                <c:pt idx="0">
                  <c:v>4000000-13999999</c:v>
                </c:pt>
                <c:pt idx="1">
                  <c:v>14000000-23999999</c:v>
                </c:pt>
                <c:pt idx="2">
                  <c:v>24000000-33999999</c:v>
                </c:pt>
                <c:pt idx="3">
                  <c:v>34000000-43999999</c:v>
                </c:pt>
                <c:pt idx="4">
                  <c:v>44000000-53999999</c:v>
                </c:pt>
                <c:pt idx="5">
                  <c:v>54000000-63999999</c:v>
                </c:pt>
                <c:pt idx="6">
                  <c:v>64000000-73999999</c:v>
                </c:pt>
                <c:pt idx="7">
                  <c:v>74000000-83999999</c:v>
                </c:pt>
                <c:pt idx="8">
                  <c:v>84000000-93999999</c:v>
                </c:pt>
                <c:pt idx="9">
                  <c:v>94000000-103999999</c:v>
                </c:pt>
                <c:pt idx="10">
                  <c:v>104000000-113999999</c:v>
                </c:pt>
                <c:pt idx="11">
                  <c:v>114000000-123999999</c:v>
                </c:pt>
              </c:strCache>
            </c:strRef>
          </c:cat>
          <c:val>
            <c:numRef>
              <c:f>'V2 and V3'!$D$4:$D$16</c:f>
              <c:numCache>
                <c:formatCode>General</c:formatCode>
                <c:ptCount val="12"/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E3-4F51-A424-BDE7548C0D63}"/>
            </c:ext>
          </c:extLst>
        </c:ser>
        <c:ser>
          <c:idx val="3"/>
          <c:order val="3"/>
          <c:tx>
            <c:strRef>
              <c:f>'V2 and V3'!$E$2:$E$3</c:f>
              <c:strCache>
                <c:ptCount val="1"/>
                <c:pt idx="0">
                  <c:v>25-26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'V2 and V3'!$A$4:$A$16</c:f>
              <c:strCache>
                <c:ptCount val="12"/>
                <c:pt idx="0">
                  <c:v>4000000-13999999</c:v>
                </c:pt>
                <c:pt idx="1">
                  <c:v>14000000-23999999</c:v>
                </c:pt>
                <c:pt idx="2">
                  <c:v>24000000-33999999</c:v>
                </c:pt>
                <c:pt idx="3">
                  <c:v>34000000-43999999</c:v>
                </c:pt>
                <c:pt idx="4">
                  <c:v>44000000-53999999</c:v>
                </c:pt>
                <c:pt idx="5">
                  <c:v>54000000-63999999</c:v>
                </c:pt>
                <c:pt idx="6">
                  <c:v>64000000-73999999</c:v>
                </c:pt>
                <c:pt idx="7">
                  <c:v>74000000-83999999</c:v>
                </c:pt>
                <c:pt idx="8">
                  <c:v>84000000-93999999</c:v>
                </c:pt>
                <c:pt idx="9">
                  <c:v>94000000-103999999</c:v>
                </c:pt>
                <c:pt idx="10">
                  <c:v>104000000-113999999</c:v>
                </c:pt>
                <c:pt idx="11">
                  <c:v>114000000-123999999</c:v>
                </c:pt>
              </c:strCache>
            </c:strRef>
          </c:cat>
          <c:val>
            <c:numRef>
              <c:f>'V2 and V3'!$E$4:$E$16</c:f>
              <c:numCache>
                <c:formatCode>General</c:formatCode>
                <c:ptCount val="12"/>
                <c:pt idx="3">
                  <c:v>2</c:v>
                </c:pt>
                <c:pt idx="4">
                  <c:v>6</c:v>
                </c:pt>
                <c:pt idx="5">
                  <c:v>4</c:v>
                </c:pt>
                <c:pt idx="6">
                  <c:v>8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E3-4F51-A424-BDE7548C0D63}"/>
            </c:ext>
          </c:extLst>
        </c:ser>
        <c:ser>
          <c:idx val="4"/>
          <c:order val="4"/>
          <c:tx>
            <c:strRef>
              <c:f>'V2 and V3'!$F$2:$F$3</c:f>
              <c:strCache>
                <c:ptCount val="1"/>
                <c:pt idx="0">
                  <c:v>27-28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'V2 and V3'!$A$4:$A$16</c:f>
              <c:strCache>
                <c:ptCount val="12"/>
                <c:pt idx="0">
                  <c:v>4000000-13999999</c:v>
                </c:pt>
                <c:pt idx="1">
                  <c:v>14000000-23999999</c:v>
                </c:pt>
                <c:pt idx="2">
                  <c:v>24000000-33999999</c:v>
                </c:pt>
                <c:pt idx="3">
                  <c:v>34000000-43999999</c:v>
                </c:pt>
                <c:pt idx="4">
                  <c:v>44000000-53999999</c:v>
                </c:pt>
                <c:pt idx="5">
                  <c:v>54000000-63999999</c:v>
                </c:pt>
                <c:pt idx="6">
                  <c:v>64000000-73999999</c:v>
                </c:pt>
                <c:pt idx="7">
                  <c:v>74000000-83999999</c:v>
                </c:pt>
                <c:pt idx="8">
                  <c:v>84000000-93999999</c:v>
                </c:pt>
                <c:pt idx="9">
                  <c:v>94000000-103999999</c:v>
                </c:pt>
                <c:pt idx="10">
                  <c:v>104000000-113999999</c:v>
                </c:pt>
                <c:pt idx="11">
                  <c:v>114000000-123999999</c:v>
                </c:pt>
              </c:strCache>
            </c:strRef>
          </c:cat>
          <c:val>
            <c:numRef>
              <c:f>'V2 and V3'!$F$4:$F$16</c:f>
              <c:numCache>
                <c:formatCode>General</c:formatCode>
                <c:ptCount val="12"/>
                <c:pt idx="2">
                  <c:v>1</c:v>
                </c:pt>
                <c:pt idx="3">
                  <c:v>5</c:v>
                </c:pt>
                <c:pt idx="4">
                  <c:v>7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E3-4F51-A424-BDE7548C0D63}"/>
            </c:ext>
          </c:extLst>
        </c:ser>
        <c:ser>
          <c:idx val="5"/>
          <c:order val="5"/>
          <c:tx>
            <c:strRef>
              <c:f>'V2 and V3'!$G$2:$G$3</c:f>
              <c:strCache>
                <c:ptCount val="1"/>
                <c:pt idx="0">
                  <c:v>29-30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'V2 and V3'!$A$4:$A$16</c:f>
              <c:strCache>
                <c:ptCount val="12"/>
                <c:pt idx="0">
                  <c:v>4000000-13999999</c:v>
                </c:pt>
                <c:pt idx="1">
                  <c:v>14000000-23999999</c:v>
                </c:pt>
                <c:pt idx="2">
                  <c:v>24000000-33999999</c:v>
                </c:pt>
                <c:pt idx="3">
                  <c:v>34000000-43999999</c:v>
                </c:pt>
                <c:pt idx="4">
                  <c:v>44000000-53999999</c:v>
                </c:pt>
                <c:pt idx="5">
                  <c:v>54000000-63999999</c:v>
                </c:pt>
                <c:pt idx="6">
                  <c:v>64000000-73999999</c:v>
                </c:pt>
                <c:pt idx="7">
                  <c:v>74000000-83999999</c:v>
                </c:pt>
                <c:pt idx="8">
                  <c:v>84000000-93999999</c:v>
                </c:pt>
                <c:pt idx="9">
                  <c:v>94000000-103999999</c:v>
                </c:pt>
                <c:pt idx="10">
                  <c:v>104000000-113999999</c:v>
                </c:pt>
                <c:pt idx="11">
                  <c:v>114000000-123999999</c:v>
                </c:pt>
              </c:strCache>
            </c:strRef>
          </c:cat>
          <c:val>
            <c:numRef>
              <c:f>'V2 and V3'!$G$4:$G$16</c:f>
              <c:numCache>
                <c:formatCode>General</c:formatCode>
                <c:ptCount val="12"/>
                <c:pt idx="2">
                  <c:v>2</c:v>
                </c:pt>
                <c:pt idx="3">
                  <c:v>9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E3-4F51-A424-BDE7548C0D63}"/>
            </c:ext>
          </c:extLst>
        </c:ser>
        <c:ser>
          <c:idx val="6"/>
          <c:order val="6"/>
          <c:tx>
            <c:strRef>
              <c:f>'V2 and V3'!$H$2:$H$3</c:f>
              <c:strCache>
                <c:ptCount val="1"/>
                <c:pt idx="0">
                  <c:v>31-32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'V2 and V3'!$A$4:$A$16</c:f>
              <c:strCache>
                <c:ptCount val="12"/>
                <c:pt idx="0">
                  <c:v>4000000-13999999</c:v>
                </c:pt>
                <c:pt idx="1">
                  <c:v>14000000-23999999</c:v>
                </c:pt>
                <c:pt idx="2">
                  <c:v>24000000-33999999</c:v>
                </c:pt>
                <c:pt idx="3">
                  <c:v>34000000-43999999</c:v>
                </c:pt>
                <c:pt idx="4">
                  <c:v>44000000-53999999</c:v>
                </c:pt>
                <c:pt idx="5">
                  <c:v>54000000-63999999</c:v>
                </c:pt>
                <c:pt idx="6">
                  <c:v>64000000-73999999</c:v>
                </c:pt>
                <c:pt idx="7">
                  <c:v>74000000-83999999</c:v>
                </c:pt>
                <c:pt idx="8">
                  <c:v>84000000-93999999</c:v>
                </c:pt>
                <c:pt idx="9">
                  <c:v>94000000-103999999</c:v>
                </c:pt>
                <c:pt idx="10">
                  <c:v>104000000-113999999</c:v>
                </c:pt>
                <c:pt idx="11">
                  <c:v>114000000-123999999</c:v>
                </c:pt>
              </c:strCache>
            </c:strRef>
          </c:cat>
          <c:val>
            <c:numRef>
              <c:f>'V2 and V3'!$H$4:$H$16</c:f>
              <c:numCache>
                <c:formatCode>General</c:formatCode>
                <c:ptCount val="12"/>
                <c:pt idx="2">
                  <c:v>6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E3-4F51-A424-BDE7548C0D63}"/>
            </c:ext>
          </c:extLst>
        </c:ser>
        <c:ser>
          <c:idx val="7"/>
          <c:order val="7"/>
          <c:tx>
            <c:strRef>
              <c:f>'V2 and V3'!$I$2:$I$3</c:f>
              <c:strCache>
                <c:ptCount val="1"/>
                <c:pt idx="0">
                  <c:v>33-34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'V2 and V3'!$A$4:$A$16</c:f>
              <c:strCache>
                <c:ptCount val="12"/>
                <c:pt idx="0">
                  <c:v>4000000-13999999</c:v>
                </c:pt>
                <c:pt idx="1">
                  <c:v>14000000-23999999</c:v>
                </c:pt>
                <c:pt idx="2">
                  <c:v>24000000-33999999</c:v>
                </c:pt>
                <c:pt idx="3">
                  <c:v>34000000-43999999</c:v>
                </c:pt>
                <c:pt idx="4">
                  <c:v>44000000-53999999</c:v>
                </c:pt>
                <c:pt idx="5">
                  <c:v>54000000-63999999</c:v>
                </c:pt>
                <c:pt idx="6">
                  <c:v>64000000-73999999</c:v>
                </c:pt>
                <c:pt idx="7">
                  <c:v>74000000-83999999</c:v>
                </c:pt>
                <c:pt idx="8">
                  <c:v>84000000-93999999</c:v>
                </c:pt>
                <c:pt idx="9">
                  <c:v>94000000-103999999</c:v>
                </c:pt>
                <c:pt idx="10">
                  <c:v>104000000-113999999</c:v>
                </c:pt>
                <c:pt idx="11">
                  <c:v>114000000-123999999</c:v>
                </c:pt>
              </c:strCache>
            </c:strRef>
          </c:cat>
          <c:val>
            <c:numRef>
              <c:f>'V2 and V3'!$I$4:$I$16</c:f>
              <c:numCache>
                <c:formatCode>General</c:formatCode>
                <c:ptCount val="12"/>
                <c:pt idx="1">
                  <c:v>2</c:v>
                </c:pt>
                <c:pt idx="2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EE3-4F51-A424-BDE7548C0D63}"/>
            </c:ext>
          </c:extLst>
        </c:ser>
        <c:ser>
          <c:idx val="8"/>
          <c:order val="8"/>
          <c:tx>
            <c:strRef>
              <c:f>'V2 and V3'!$J$2:$J$3</c:f>
              <c:strCache>
                <c:ptCount val="1"/>
                <c:pt idx="0">
                  <c:v>39-40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'V2 and V3'!$A$4:$A$16</c:f>
              <c:strCache>
                <c:ptCount val="12"/>
                <c:pt idx="0">
                  <c:v>4000000-13999999</c:v>
                </c:pt>
                <c:pt idx="1">
                  <c:v>14000000-23999999</c:v>
                </c:pt>
                <c:pt idx="2">
                  <c:v>24000000-33999999</c:v>
                </c:pt>
                <c:pt idx="3">
                  <c:v>34000000-43999999</c:v>
                </c:pt>
                <c:pt idx="4">
                  <c:v>44000000-53999999</c:v>
                </c:pt>
                <c:pt idx="5">
                  <c:v>54000000-63999999</c:v>
                </c:pt>
                <c:pt idx="6">
                  <c:v>64000000-73999999</c:v>
                </c:pt>
                <c:pt idx="7">
                  <c:v>74000000-83999999</c:v>
                </c:pt>
                <c:pt idx="8">
                  <c:v>84000000-93999999</c:v>
                </c:pt>
                <c:pt idx="9">
                  <c:v>94000000-103999999</c:v>
                </c:pt>
                <c:pt idx="10">
                  <c:v>104000000-113999999</c:v>
                </c:pt>
                <c:pt idx="11">
                  <c:v>114000000-123999999</c:v>
                </c:pt>
              </c:strCache>
            </c:strRef>
          </c:cat>
          <c:val>
            <c:numRef>
              <c:f>'V2 and V3'!$J$4:$J$16</c:f>
              <c:numCache>
                <c:formatCode>General</c:formatCode>
                <c:ptCount val="1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EE3-4F51-A424-BDE7548C0D6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79"/>
        <c:overlap val="100"/>
        <c:axId val="1188696351"/>
        <c:axId val="1188696831"/>
      </c:barChart>
      <c:catAx>
        <c:axId val="118869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  <a:r>
                  <a:rPr lang="en-IN" baseline="0"/>
                  <a:t> count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696831"/>
        <c:crosses val="autoZero"/>
        <c:auto val="1"/>
        <c:lblAlgn val="ctr"/>
        <c:lblOffset val="100"/>
        <c:noMultiLvlLbl val="0"/>
      </c:catAx>
      <c:valAx>
        <c:axId val="118869683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Group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18869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[Deliverable 2 Ro.xlsx]V2 and V4!PivotTable11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Bar</a:t>
            </a:r>
            <a:r>
              <a:rPr lang="en-IN" baseline="0"/>
              <a:t> Graph of Clubs and Player Wages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dot"/>
          <c:size val="6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dash"/>
          <c:size val="6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'V2 and V4'!$B$4:$B$5</c:f>
              <c:strCache>
                <c:ptCount val="1"/>
                <c:pt idx="0">
                  <c:v>21000-70999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'V2 and V4'!$A$6:$A$29</c:f>
              <c:strCache>
                <c:ptCount val="23"/>
                <c:pt idx="0">
                  <c:v>Arsenal</c:v>
                </c:pt>
                <c:pt idx="1">
                  <c:v>Atletico Madrid</c:v>
                </c:pt>
                <c:pt idx="2">
                  <c:v>Borussia Dortmund</c:v>
                </c:pt>
                <c:pt idx="3">
                  <c:v>Chelsea</c:v>
                </c:pt>
                <c:pt idx="4">
                  <c:v>FC Barcelona</c:v>
                </c:pt>
                <c:pt idx="5">
                  <c:v>FC Bayern Munich</c:v>
                </c:pt>
                <c:pt idx="6">
                  <c:v>FC Porto</c:v>
                </c:pt>
                <c:pt idx="7">
                  <c:v>Guangzhou Evergrande Taobao FC</c:v>
                </c:pt>
                <c:pt idx="8">
                  <c:v>Inter</c:v>
                </c:pt>
                <c:pt idx="9">
                  <c:v>Juventus</c:v>
                </c:pt>
                <c:pt idx="10">
                  <c:v>Lazio</c:v>
                </c:pt>
                <c:pt idx="11">
                  <c:v>Liverpool</c:v>
                </c:pt>
                <c:pt idx="12">
                  <c:v>Manchester City</c:v>
                </c:pt>
                <c:pt idx="13">
                  <c:v>Manchester United</c:v>
                </c:pt>
                <c:pt idx="14">
                  <c:v>Milan</c:v>
                </c:pt>
                <c:pt idx="15">
                  <c:v>Napoli</c:v>
                </c:pt>
                <c:pt idx="16">
                  <c:v>Olympique Lyonnais</c:v>
                </c:pt>
                <c:pt idx="17">
                  <c:v>Paris Saint-Germain</c:v>
                </c:pt>
                <c:pt idx="18">
                  <c:v>Real Madrid</c:v>
                </c:pt>
                <c:pt idx="19">
                  <c:v>Roma</c:v>
                </c:pt>
                <c:pt idx="20">
                  <c:v>Tottenham Hotspur</c:v>
                </c:pt>
                <c:pt idx="21">
                  <c:v>Valencia CF</c:v>
                </c:pt>
                <c:pt idx="22">
                  <c:v>Vissel Kobe</c:v>
                </c:pt>
              </c:strCache>
            </c:strRef>
          </c:cat>
          <c:val>
            <c:numRef>
              <c:f>'V2 and V4'!$B$6:$B$29</c:f>
              <c:numCache>
                <c:formatCode>General</c:formatCode>
                <c:ptCount val="23"/>
                <c:pt idx="6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8-4148-AC9E-44723C23A85B}"/>
            </c:ext>
          </c:extLst>
        </c:ser>
        <c:ser>
          <c:idx val="1"/>
          <c:order val="1"/>
          <c:tx>
            <c:strRef>
              <c:f>'V2 and V4'!$C$4:$C$5</c:f>
              <c:strCache>
                <c:ptCount val="1"/>
                <c:pt idx="0">
                  <c:v>71000-120999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'V2 and V4'!$A$6:$A$29</c:f>
              <c:strCache>
                <c:ptCount val="23"/>
                <c:pt idx="0">
                  <c:v>Arsenal</c:v>
                </c:pt>
                <c:pt idx="1">
                  <c:v>Atletico Madrid</c:v>
                </c:pt>
                <c:pt idx="2">
                  <c:v>Borussia Dortmund</c:v>
                </c:pt>
                <c:pt idx="3">
                  <c:v>Chelsea</c:v>
                </c:pt>
                <c:pt idx="4">
                  <c:v>FC Barcelona</c:v>
                </c:pt>
                <c:pt idx="5">
                  <c:v>FC Bayern Munich</c:v>
                </c:pt>
                <c:pt idx="6">
                  <c:v>FC Porto</c:v>
                </c:pt>
                <c:pt idx="7">
                  <c:v>Guangzhou Evergrande Taobao FC</c:v>
                </c:pt>
                <c:pt idx="8">
                  <c:v>Inter</c:v>
                </c:pt>
                <c:pt idx="9">
                  <c:v>Juventus</c:v>
                </c:pt>
                <c:pt idx="10">
                  <c:v>Lazio</c:v>
                </c:pt>
                <c:pt idx="11">
                  <c:v>Liverpool</c:v>
                </c:pt>
                <c:pt idx="12">
                  <c:v>Manchester City</c:v>
                </c:pt>
                <c:pt idx="13">
                  <c:v>Manchester United</c:v>
                </c:pt>
                <c:pt idx="14">
                  <c:v>Milan</c:v>
                </c:pt>
                <c:pt idx="15">
                  <c:v>Napoli</c:v>
                </c:pt>
                <c:pt idx="16">
                  <c:v>Olympique Lyonnais</c:v>
                </c:pt>
                <c:pt idx="17">
                  <c:v>Paris Saint-Germain</c:v>
                </c:pt>
                <c:pt idx="18">
                  <c:v>Real Madrid</c:v>
                </c:pt>
                <c:pt idx="19">
                  <c:v>Roma</c:v>
                </c:pt>
                <c:pt idx="20">
                  <c:v>Tottenham Hotspur</c:v>
                </c:pt>
                <c:pt idx="21">
                  <c:v>Valencia CF</c:v>
                </c:pt>
                <c:pt idx="22">
                  <c:v>Vissel Kobe</c:v>
                </c:pt>
              </c:strCache>
            </c:strRef>
          </c:cat>
          <c:val>
            <c:numRef>
              <c:f>'V2 and V4'!$C$6:$C$29</c:f>
              <c:numCache>
                <c:formatCode>General</c:formatCode>
                <c:ptCount val="23"/>
                <c:pt idx="1">
                  <c:v>3</c:v>
                </c:pt>
                <c:pt idx="2">
                  <c:v>1</c:v>
                </c:pt>
                <c:pt idx="5">
                  <c:v>3</c:v>
                </c:pt>
                <c:pt idx="8">
                  <c:v>3</c:v>
                </c:pt>
                <c:pt idx="10">
                  <c:v>2</c:v>
                </c:pt>
                <c:pt idx="11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8-4148-AC9E-44723C23A85B}"/>
            </c:ext>
          </c:extLst>
        </c:ser>
        <c:ser>
          <c:idx val="2"/>
          <c:order val="2"/>
          <c:tx>
            <c:strRef>
              <c:f>'V2 and V4'!$D$4:$D$5</c:f>
              <c:strCache>
                <c:ptCount val="1"/>
                <c:pt idx="0">
                  <c:v>121000-170999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'V2 and V4'!$A$6:$A$29</c:f>
              <c:strCache>
                <c:ptCount val="23"/>
                <c:pt idx="0">
                  <c:v>Arsenal</c:v>
                </c:pt>
                <c:pt idx="1">
                  <c:v>Atletico Madrid</c:v>
                </c:pt>
                <c:pt idx="2">
                  <c:v>Borussia Dortmund</c:v>
                </c:pt>
                <c:pt idx="3">
                  <c:v>Chelsea</c:v>
                </c:pt>
                <c:pt idx="4">
                  <c:v>FC Barcelona</c:v>
                </c:pt>
                <c:pt idx="5">
                  <c:v>FC Bayern Munich</c:v>
                </c:pt>
                <c:pt idx="6">
                  <c:v>FC Porto</c:v>
                </c:pt>
                <c:pt idx="7">
                  <c:v>Guangzhou Evergrande Taobao FC</c:v>
                </c:pt>
                <c:pt idx="8">
                  <c:v>Inter</c:v>
                </c:pt>
                <c:pt idx="9">
                  <c:v>Juventus</c:v>
                </c:pt>
                <c:pt idx="10">
                  <c:v>Lazio</c:v>
                </c:pt>
                <c:pt idx="11">
                  <c:v>Liverpool</c:v>
                </c:pt>
                <c:pt idx="12">
                  <c:v>Manchester City</c:v>
                </c:pt>
                <c:pt idx="13">
                  <c:v>Manchester United</c:v>
                </c:pt>
                <c:pt idx="14">
                  <c:v>Milan</c:v>
                </c:pt>
                <c:pt idx="15">
                  <c:v>Napoli</c:v>
                </c:pt>
                <c:pt idx="16">
                  <c:v>Olympique Lyonnais</c:v>
                </c:pt>
                <c:pt idx="17">
                  <c:v>Paris Saint-Germain</c:v>
                </c:pt>
                <c:pt idx="18">
                  <c:v>Real Madrid</c:v>
                </c:pt>
                <c:pt idx="19">
                  <c:v>Roma</c:v>
                </c:pt>
                <c:pt idx="20">
                  <c:v>Tottenham Hotspur</c:v>
                </c:pt>
                <c:pt idx="21">
                  <c:v>Valencia CF</c:v>
                </c:pt>
                <c:pt idx="22">
                  <c:v>Vissel Kobe</c:v>
                </c:pt>
              </c:strCache>
            </c:strRef>
          </c:cat>
          <c:val>
            <c:numRef>
              <c:f>'V2 and V4'!$D$6:$D$29</c:f>
              <c:numCache>
                <c:formatCode>General</c:formatCode>
                <c:ptCount val="23"/>
                <c:pt idx="1">
                  <c:v>2</c:v>
                </c:pt>
                <c:pt idx="5">
                  <c:v>4</c:v>
                </c:pt>
                <c:pt idx="8">
                  <c:v>1</c:v>
                </c:pt>
                <c:pt idx="9">
                  <c:v>5</c:v>
                </c:pt>
                <c:pt idx="11">
                  <c:v>1</c:v>
                </c:pt>
                <c:pt idx="12">
                  <c:v>2</c:v>
                </c:pt>
                <c:pt idx="15">
                  <c:v>3</c:v>
                </c:pt>
                <c:pt idx="17">
                  <c:v>2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88-4148-AC9E-44723C23A85B}"/>
            </c:ext>
          </c:extLst>
        </c:ser>
        <c:ser>
          <c:idx val="3"/>
          <c:order val="3"/>
          <c:tx>
            <c:strRef>
              <c:f>'V2 and V4'!$E$4:$E$5</c:f>
              <c:strCache>
                <c:ptCount val="1"/>
                <c:pt idx="0">
                  <c:v>171000-220999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'V2 and V4'!$A$6:$A$29</c:f>
              <c:strCache>
                <c:ptCount val="23"/>
                <c:pt idx="0">
                  <c:v>Arsenal</c:v>
                </c:pt>
                <c:pt idx="1">
                  <c:v>Atletico Madrid</c:v>
                </c:pt>
                <c:pt idx="2">
                  <c:v>Borussia Dortmund</c:v>
                </c:pt>
                <c:pt idx="3">
                  <c:v>Chelsea</c:v>
                </c:pt>
                <c:pt idx="4">
                  <c:v>FC Barcelona</c:v>
                </c:pt>
                <c:pt idx="5">
                  <c:v>FC Bayern Munich</c:v>
                </c:pt>
                <c:pt idx="6">
                  <c:v>FC Porto</c:v>
                </c:pt>
                <c:pt idx="7">
                  <c:v>Guangzhou Evergrande Taobao FC</c:v>
                </c:pt>
                <c:pt idx="8">
                  <c:v>Inter</c:v>
                </c:pt>
                <c:pt idx="9">
                  <c:v>Juventus</c:v>
                </c:pt>
                <c:pt idx="10">
                  <c:v>Lazio</c:v>
                </c:pt>
                <c:pt idx="11">
                  <c:v>Liverpool</c:v>
                </c:pt>
                <c:pt idx="12">
                  <c:v>Manchester City</c:v>
                </c:pt>
                <c:pt idx="13">
                  <c:v>Manchester United</c:v>
                </c:pt>
                <c:pt idx="14">
                  <c:v>Milan</c:v>
                </c:pt>
                <c:pt idx="15">
                  <c:v>Napoli</c:v>
                </c:pt>
                <c:pt idx="16">
                  <c:v>Olympique Lyonnais</c:v>
                </c:pt>
                <c:pt idx="17">
                  <c:v>Paris Saint-Germain</c:v>
                </c:pt>
                <c:pt idx="18">
                  <c:v>Real Madrid</c:v>
                </c:pt>
                <c:pt idx="19">
                  <c:v>Roma</c:v>
                </c:pt>
                <c:pt idx="20">
                  <c:v>Tottenham Hotspur</c:v>
                </c:pt>
                <c:pt idx="21">
                  <c:v>Valencia CF</c:v>
                </c:pt>
                <c:pt idx="22">
                  <c:v>Vissel Kobe</c:v>
                </c:pt>
              </c:strCache>
            </c:strRef>
          </c:cat>
          <c:val>
            <c:numRef>
              <c:f>'V2 and V4'!$E$6:$E$29</c:f>
              <c:numCache>
                <c:formatCode>General</c:formatCode>
                <c:ptCount val="23"/>
                <c:pt idx="0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9">
                  <c:v>4</c:v>
                </c:pt>
                <c:pt idx="11">
                  <c:v>2</c:v>
                </c:pt>
                <c:pt idx="12">
                  <c:v>5</c:v>
                </c:pt>
                <c:pt idx="13">
                  <c:v>2</c:v>
                </c:pt>
                <c:pt idx="17">
                  <c:v>1</c:v>
                </c:pt>
                <c:pt idx="18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88-4148-AC9E-44723C23A85B}"/>
            </c:ext>
          </c:extLst>
        </c:ser>
        <c:ser>
          <c:idx val="4"/>
          <c:order val="4"/>
          <c:tx>
            <c:strRef>
              <c:f>'V2 and V4'!$F$4:$F$5</c:f>
              <c:strCache>
                <c:ptCount val="1"/>
                <c:pt idx="0">
                  <c:v>221000-270999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'V2 and V4'!$A$6:$A$29</c:f>
              <c:strCache>
                <c:ptCount val="23"/>
                <c:pt idx="0">
                  <c:v>Arsenal</c:v>
                </c:pt>
                <c:pt idx="1">
                  <c:v>Atletico Madrid</c:v>
                </c:pt>
                <c:pt idx="2">
                  <c:v>Borussia Dortmund</c:v>
                </c:pt>
                <c:pt idx="3">
                  <c:v>Chelsea</c:v>
                </c:pt>
                <c:pt idx="4">
                  <c:v>FC Barcelona</c:v>
                </c:pt>
                <c:pt idx="5">
                  <c:v>FC Bayern Munich</c:v>
                </c:pt>
                <c:pt idx="6">
                  <c:v>FC Porto</c:v>
                </c:pt>
                <c:pt idx="7">
                  <c:v>Guangzhou Evergrande Taobao FC</c:v>
                </c:pt>
                <c:pt idx="8">
                  <c:v>Inter</c:v>
                </c:pt>
                <c:pt idx="9">
                  <c:v>Juventus</c:v>
                </c:pt>
                <c:pt idx="10">
                  <c:v>Lazio</c:v>
                </c:pt>
                <c:pt idx="11">
                  <c:v>Liverpool</c:v>
                </c:pt>
                <c:pt idx="12">
                  <c:v>Manchester City</c:v>
                </c:pt>
                <c:pt idx="13">
                  <c:v>Manchester United</c:v>
                </c:pt>
                <c:pt idx="14">
                  <c:v>Milan</c:v>
                </c:pt>
                <c:pt idx="15">
                  <c:v>Napoli</c:v>
                </c:pt>
                <c:pt idx="16">
                  <c:v>Olympique Lyonnais</c:v>
                </c:pt>
                <c:pt idx="17">
                  <c:v>Paris Saint-Germain</c:v>
                </c:pt>
                <c:pt idx="18">
                  <c:v>Real Madrid</c:v>
                </c:pt>
                <c:pt idx="19">
                  <c:v>Roma</c:v>
                </c:pt>
                <c:pt idx="20">
                  <c:v>Tottenham Hotspur</c:v>
                </c:pt>
                <c:pt idx="21">
                  <c:v>Valencia CF</c:v>
                </c:pt>
                <c:pt idx="22">
                  <c:v>Vissel Kobe</c:v>
                </c:pt>
              </c:strCache>
            </c:strRef>
          </c:cat>
          <c:val>
            <c:numRef>
              <c:f>'V2 and V4'!$F$6:$F$29</c:f>
              <c:numCache>
                <c:formatCode>General</c:formatCode>
                <c:ptCount val="23"/>
                <c:pt idx="0">
                  <c:v>1</c:v>
                </c:pt>
                <c:pt idx="3">
                  <c:v>1</c:v>
                </c:pt>
                <c:pt idx="4">
                  <c:v>4</c:v>
                </c:pt>
                <c:pt idx="7">
                  <c:v>1</c:v>
                </c:pt>
                <c:pt idx="11">
                  <c:v>1</c:v>
                </c:pt>
                <c:pt idx="13">
                  <c:v>2</c:v>
                </c:pt>
                <c:pt idx="14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88-4148-AC9E-44723C23A85B}"/>
            </c:ext>
          </c:extLst>
        </c:ser>
        <c:ser>
          <c:idx val="5"/>
          <c:order val="5"/>
          <c:tx>
            <c:strRef>
              <c:f>'V2 and V4'!$G$4:$G$5</c:f>
              <c:strCache>
                <c:ptCount val="1"/>
                <c:pt idx="0">
                  <c:v>271000-320999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'V2 and V4'!$A$6:$A$29</c:f>
              <c:strCache>
                <c:ptCount val="23"/>
                <c:pt idx="0">
                  <c:v>Arsenal</c:v>
                </c:pt>
                <c:pt idx="1">
                  <c:v>Atletico Madrid</c:v>
                </c:pt>
                <c:pt idx="2">
                  <c:v>Borussia Dortmund</c:v>
                </c:pt>
                <c:pt idx="3">
                  <c:v>Chelsea</c:v>
                </c:pt>
                <c:pt idx="4">
                  <c:v>FC Barcelona</c:v>
                </c:pt>
                <c:pt idx="5">
                  <c:v>FC Bayern Munich</c:v>
                </c:pt>
                <c:pt idx="6">
                  <c:v>FC Porto</c:v>
                </c:pt>
                <c:pt idx="7">
                  <c:v>Guangzhou Evergrande Taobao FC</c:v>
                </c:pt>
                <c:pt idx="8">
                  <c:v>Inter</c:v>
                </c:pt>
                <c:pt idx="9">
                  <c:v>Juventus</c:v>
                </c:pt>
                <c:pt idx="10">
                  <c:v>Lazio</c:v>
                </c:pt>
                <c:pt idx="11">
                  <c:v>Liverpool</c:v>
                </c:pt>
                <c:pt idx="12">
                  <c:v>Manchester City</c:v>
                </c:pt>
                <c:pt idx="13">
                  <c:v>Manchester United</c:v>
                </c:pt>
                <c:pt idx="14">
                  <c:v>Milan</c:v>
                </c:pt>
                <c:pt idx="15">
                  <c:v>Napoli</c:v>
                </c:pt>
                <c:pt idx="16">
                  <c:v>Olympique Lyonnais</c:v>
                </c:pt>
                <c:pt idx="17">
                  <c:v>Paris Saint-Germain</c:v>
                </c:pt>
                <c:pt idx="18">
                  <c:v>Real Madrid</c:v>
                </c:pt>
                <c:pt idx="19">
                  <c:v>Roma</c:v>
                </c:pt>
                <c:pt idx="20">
                  <c:v>Tottenham Hotspur</c:v>
                </c:pt>
                <c:pt idx="21">
                  <c:v>Valencia CF</c:v>
                </c:pt>
                <c:pt idx="22">
                  <c:v>Vissel Kobe</c:v>
                </c:pt>
              </c:strCache>
            </c:strRef>
          </c:cat>
          <c:val>
            <c:numRef>
              <c:f>'V2 and V4'!$G$6:$G$29</c:f>
              <c:numCache>
                <c:formatCode>General</c:formatCode>
                <c:ptCount val="23"/>
                <c:pt idx="4">
                  <c:v>1</c:v>
                </c:pt>
                <c:pt idx="5">
                  <c:v>1</c:v>
                </c:pt>
                <c:pt idx="12">
                  <c:v>2</c:v>
                </c:pt>
                <c:pt idx="17">
                  <c:v>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88-4148-AC9E-44723C23A85B}"/>
            </c:ext>
          </c:extLst>
        </c:ser>
        <c:ser>
          <c:idx val="6"/>
          <c:order val="6"/>
          <c:tx>
            <c:strRef>
              <c:f>'V2 and V4'!$H$4:$H$5</c:f>
              <c:strCache>
                <c:ptCount val="1"/>
                <c:pt idx="0">
                  <c:v>321000-370999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'V2 and V4'!$A$6:$A$29</c:f>
              <c:strCache>
                <c:ptCount val="23"/>
                <c:pt idx="0">
                  <c:v>Arsenal</c:v>
                </c:pt>
                <c:pt idx="1">
                  <c:v>Atletico Madrid</c:v>
                </c:pt>
                <c:pt idx="2">
                  <c:v>Borussia Dortmund</c:v>
                </c:pt>
                <c:pt idx="3">
                  <c:v>Chelsea</c:v>
                </c:pt>
                <c:pt idx="4">
                  <c:v>FC Barcelona</c:v>
                </c:pt>
                <c:pt idx="5">
                  <c:v>FC Bayern Munich</c:v>
                </c:pt>
                <c:pt idx="6">
                  <c:v>FC Porto</c:v>
                </c:pt>
                <c:pt idx="7">
                  <c:v>Guangzhou Evergrande Taobao FC</c:v>
                </c:pt>
                <c:pt idx="8">
                  <c:v>Inter</c:v>
                </c:pt>
                <c:pt idx="9">
                  <c:v>Juventus</c:v>
                </c:pt>
                <c:pt idx="10">
                  <c:v>Lazio</c:v>
                </c:pt>
                <c:pt idx="11">
                  <c:v>Liverpool</c:v>
                </c:pt>
                <c:pt idx="12">
                  <c:v>Manchester City</c:v>
                </c:pt>
                <c:pt idx="13">
                  <c:v>Manchester United</c:v>
                </c:pt>
                <c:pt idx="14">
                  <c:v>Milan</c:v>
                </c:pt>
                <c:pt idx="15">
                  <c:v>Napoli</c:v>
                </c:pt>
                <c:pt idx="16">
                  <c:v>Olympique Lyonnais</c:v>
                </c:pt>
                <c:pt idx="17">
                  <c:v>Paris Saint-Germain</c:v>
                </c:pt>
                <c:pt idx="18">
                  <c:v>Real Madrid</c:v>
                </c:pt>
                <c:pt idx="19">
                  <c:v>Roma</c:v>
                </c:pt>
                <c:pt idx="20">
                  <c:v>Tottenham Hotspur</c:v>
                </c:pt>
                <c:pt idx="21">
                  <c:v>Valencia CF</c:v>
                </c:pt>
                <c:pt idx="22">
                  <c:v>Vissel Kobe</c:v>
                </c:pt>
              </c:strCache>
            </c:strRef>
          </c:cat>
          <c:val>
            <c:numRef>
              <c:f>'V2 and V4'!$H$6:$H$29</c:f>
              <c:numCache>
                <c:formatCode>General</c:formatCode>
                <c:ptCount val="23"/>
                <c:pt idx="3">
                  <c:v>1</c:v>
                </c:pt>
                <c:pt idx="4">
                  <c:v>1</c:v>
                </c:pt>
                <c:pt idx="12">
                  <c:v>1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88-4148-AC9E-44723C23A85B}"/>
            </c:ext>
          </c:extLst>
        </c:ser>
        <c:ser>
          <c:idx val="7"/>
          <c:order val="7"/>
          <c:tx>
            <c:strRef>
              <c:f>'V2 and V4'!$I$4:$I$5</c:f>
              <c:strCache>
                <c:ptCount val="1"/>
                <c:pt idx="0">
                  <c:v>371000-420999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'V2 and V4'!$A$6:$A$29</c:f>
              <c:strCache>
                <c:ptCount val="23"/>
                <c:pt idx="0">
                  <c:v>Arsenal</c:v>
                </c:pt>
                <c:pt idx="1">
                  <c:v>Atletico Madrid</c:v>
                </c:pt>
                <c:pt idx="2">
                  <c:v>Borussia Dortmund</c:v>
                </c:pt>
                <c:pt idx="3">
                  <c:v>Chelsea</c:v>
                </c:pt>
                <c:pt idx="4">
                  <c:v>FC Barcelona</c:v>
                </c:pt>
                <c:pt idx="5">
                  <c:v>FC Bayern Munich</c:v>
                </c:pt>
                <c:pt idx="6">
                  <c:v>FC Porto</c:v>
                </c:pt>
                <c:pt idx="7">
                  <c:v>Guangzhou Evergrande Taobao FC</c:v>
                </c:pt>
                <c:pt idx="8">
                  <c:v>Inter</c:v>
                </c:pt>
                <c:pt idx="9">
                  <c:v>Juventus</c:v>
                </c:pt>
                <c:pt idx="10">
                  <c:v>Lazio</c:v>
                </c:pt>
                <c:pt idx="11">
                  <c:v>Liverpool</c:v>
                </c:pt>
                <c:pt idx="12">
                  <c:v>Manchester City</c:v>
                </c:pt>
                <c:pt idx="13">
                  <c:v>Manchester United</c:v>
                </c:pt>
                <c:pt idx="14">
                  <c:v>Milan</c:v>
                </c:pt>
                <c:pt idx="15">
                  <c:v>Napoli</c:v>
                </c:pt>
                <c:pt idx="16">
                  <c:v>Olympique Lyonnais</c:v>
                </c:pt>
                <c:pt idx="17">
                  <c:v>Paris Saint-Germain</c:v>
                </c:pt>
                <c:pt idx="18">
                  <c:v>Real Madrid</c:v>
                </c:pt>
                <c:pt idx="19">
                  <c:v>Roma</c:v>
                </c:pt>
                <c:pt idx="20">
                  <c:v>Tottenham Hotspur</c:v>
                </c:pt>
                <c:pt idx="21">
                  <c:v>Valencia CF</c:v>
                </c:pt>
                <c:pt idx="22">
                  <c:v>Vissel Kobe</c:v>
                </c:pt>
              </c:strCache>
            </c:strRef>
          </c:cat>
          <c:val>
            <c:numRef>
              <c:f>'V2 and V4'!$I$6:$I$29</c:f>
              <c:numCache>
                <c:formatCode>General</c:formatCode>
                <c:ptCount val="23"/>
                <c:pt idx="9">
                  <c:v>1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88-4148-AC9E-44723C23A85B}"/>
            </c:ext>
          </c:extLst>
        </c:ser>
        <c:ser>
          <c:idx val="8"/>
          <c:order val="8"/>
          <c:tx>
            <c:strRef>
              <c:f>'V2 and V4'!$J$4:$J$5</c:f>
              <c:strCache>
                <c:ptCount val="1"/>
                <c:pt idx="0">
                  <c:v>&gt;421000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'V2 and V4'!$A$6:$A$29</c:f>
              <c:strCache>
                <c:ptCount val="23"/>
                <c:pt idx="0">
                  <c:v>Arsenal</c:v>
                </c:pt>
                <c:pt idx="1">
                  <c:v>Atletico Madrid</c:v>
                </c:pt>
                <c:pt idx="2">
                  <c:v>Borussia Dortmund</c:v>
                </c:pt>
                <c:pt idx="3">
                  <c:v>Chelsea</c:v>
                </c:pt>
                <c:pt idx="4">
                  <c:v>FC Barcelona</c:v>
                </c:pt>
                <c:pt idx="5">
                  <c:v>FC Bayern Munich</c:v>
                </c:pt>
                <c:pt idx="6">
                  <c:v>FC Porto</c:v>
                </c:pt>
                <c:pt idx="7">
                  <c:v>Guangzhou Evergrande Taobao FC</c:v>
                </c:pt>
                <c:pt idx="8">
                  <c:v>Inter</c:v>
                </c:pt>
                <c:pt idx="9">
                  <c:v>Juventus</c:v>
                </c:pt>
                <c:pt idx="10">
                  <c:v>Lazio</c:v>
                </c:pt>
                <c:pt idx="11">
                  <c:v>Liverpool</c:v>
                </c:pt>
                <c:pt idx="12">
                  <c:v>Manchester City</c:v>
                </c:pt>
                <c:pt idx="13">
                  <c:v>Manchester United</c:v>
                </c:pt>
                <c:pt idx="14">
                  <c:v>Milan</c:v>
                </c:pt>
                <c:pt idx="15">
                  <c:v>Napoli</c:v>
                </c:pt>
                <c:pt idx="16">
                  <c:v>Olympique Lyonnais</c:v>
                </c:pt>
                <c:pt idx="17">
                  <c:v>Paris Saint-Germain</c:v>
                </c:pt>
                <c:pt idx="18">
                  <c:v>Real Madrid</c:v>
                </c:pt>
                <c:pt idx="19">
                  <c:v>Roma</c:v>
                </c:pt>
                <c:pt idx="20">
                  <c:v>Tottenham Hotspur</c:v>
                </c:pt>
                <c:pt idx="21">
                  <c:v>Valencia CF</c:v>
                </c:pt>
                <c:pt idx="22">
                  <c:v>Vissel Kobe</c:v>
                </c:pt>
              </c:strCache>
            </c:strRef>
          </c:cat>
          <c:val>
            <c:numRef>
              <c:f>'V2 and V4'!$J$6:$J$29</c:f>
              <c:numCache>
                <c:formatCode>General</c:formatCode>
                <c:ptCount val="23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488-4148-AC9E-44723C23A85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256386176"/>
        <c:axId val="1757432592"/>
      </c:barChart>
      <c:catAx>
        <c:axId val="12563861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Clubs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432592"/>
        <c:crosses val="autoZero"/>
        <c:auto val="1"/>
        <c:lblAlgn val="ctr"/>
        <c:lblOffset val="100"/>
        <c:noMultiLvlLbl val="0"/>
      </c:catAx>
      <c:valAx>
        <c:axId val="175743259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Wages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5638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</a:t>
            </a:r>
            <a:r>
              <a:rPr lang="en-US" baseline="0"/>
              <a:t> Plot of Wage and Market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261822679688551E-2"/>
          <c:y val="0.11208602150537636"/>
          <c:w val="0.86778937899220276"/>
          <c:h val="0.76655682555809557"/>
        </c:manualLayout>
      </c:layout>
      <c:scatterChart>
        <c:scatterStyle val="lineMarker"/>
        <c:varyColors val="0"/>
        <c:ser>
          <c:idx val="0"/>
          <c:order val="0"/>
          <c:tx>
            <c:strRef>
              <c:f>'Deliverable 2 Ro'!$G$1</c:f>
              <c:strCache>
                <c:ptCount val="1"/>
                <c:pt idx="0">
                  <c:v>Wage(v4)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'Deliverable 2 Ro'!$F$2:$F$101</c:f>
              <c:numCache>
                <c:formatCode>General</c:formatCode>
                <c:ptCount val="100"/>
                <c:pt idx="0">
                  <c:v>110500000</c:v>
                </c:pt>
                <c:pt idx="1">
                  <c:v>77000000</c:v>
                </c:pt>
                <c:pt idx="2">
                  <c:v>118500000</c:v>
                </c:pt>
                <c:pt idx="3">
                  <c:v>72000000</c:v>
                </c:pt>
                <c:pt idx="4">
                  <c:v>102000000</c:v>
                </c:pt>
                <c:pt idx="5">
                  <c:v>93000000</c:v>
                </c:pt>
                <c:pt idx="6">
                  <c:v>67000000</c:v>
                </c:pt>
                <c:pt idx="7">
                  <c:v>80000000</c:v>
                </c:pt>
                <c:pt idx="8">
                  <c:v>51000000</c:v>
                </c:pt>
                <c:pt idx="9">
                  <c:v>68000000</c:v>
                </c:pt>
                <c:pt idx="10">
                  <c:v>77000000</c:v>
                </c:pt>
                <c:pt idx="11">
                  <c:v>76500000</c:v>
                </c:pt>
                <c:pt idx="12">
                  <c:v>44000000</c:v>
                </c:pt>
                <c:pt idx="13">
                  <c:v>60000000</c:v>
                </c:pt>
                <c:pt idx="14">
                  <c:v>63000000</c:v>
                </c:pt>
                <c:pt idx="15">
                  <c:v>89000000</c:v>
                </c:pt>
                <c:pt idx="16">
                  <c:v>83500000</c:v>
                </c:pt>
                <c:pt idx="17">
                  <c:v>78000000</c:v>
                </c:pt>
                <c:pt idx="18">
                  <c:v>58000000</c:v>
                </c:pt>
                <c:pt idx="19">
                  <c:v>53500000</c:v>
                </c:pt>
                <c:pt idx="20">
                  <c:v>51500000</c:v>
                </c:pt>
                <c:pt idx="21">
                  <c:v>60000000</c:v>
                </c:pt>
                <c:pt idx="22">
                  <c:v>38000000</c:v>
                </c:pt>
                <c:pt idx="23">
                  <c:v>64500000</c:v>
                </c:pt>
                <c:pt idx="24">
                  <c:v>27000000</c:v>
                </c:pt>
                <c:pt idx="25">
                  <c:v>81000000</c:v>
                </c:pt>
                <c:pt idx="26">
                  <c:v>69500000</c:v>
                </c:pt>
                <c:pt idx="27">
                  <c:v>59500000</c:v>
                </c:pt>
                <c:pt idx="28">
                  <c:v>69500000</c:v>
                </c:pt>
                <c:pt idx="29">
                  <c:v>62000000</c:v>
                </c:pt>
                <c:pt idx="30">
                  <c:v>73500000</c:v>
                </c:pt>
                <c:pt idx="31">
                  <c:v>73500000</c:v>
                </c:pt>
                <c:pt idx="32">
                  <c:v>69500000</c:v>
                </c:pt>
                <c:pt idx="33">
                  <c:v>59000000</c:v>
                </c:pt>
                <c:pt idx="34">
                  <c:v>46000000</c:v>
                </c:pt>
                <c:pt idx="35">
                  <c:v>43000000</c:v>
                </c:pt>
                <c:pt idx="36">
                  <c:v>60000000</c:v>
                </c:pt>
                <c:pt idx="37">
                  <c:v>36000000</c:v>
                </c:pt>
                <c:pt idx="38">
                  <c:v>57000000</c:v>
                </c:pt>
                <c:pt idx="39">
                  <c:v>24000000</c:v>
                </c:pt>
                <c:pt idx="40">
                  <c:v>30000000</c:v>
                </c:pt>
                <c:pt idx="41">
                  <c:v>4000000</c:v>
                </c:pt>
                <c:pt idx="42">
                  <c:v>57000000</c:v>
                </c:pt>
                <c:pt idx="43">
                  <c:v>64500000</c:v>
                </c:pt>
                <c:pt idx="44">
                  <c:v>51000000</c:v>
                </c:pt>
                <c:pt idx="45">
                  <c:v>64000000</c:v>
                </c:pt>
                <c:pt idx="46">
                  <c:v>30500000</c:v>
                </c:pt>
                <c:pt idx="47">
                  <c:v>62500000</c:v>
                </c:pt>
                <c:pt idx="48">
                  <c:v>52000000</c:v>
                </c:pt>
                <c:pt idx="49">
                  <c:v>38000000</c:v>
                </c:pt>
                <c:pt idx="50">
                  <c:v>45000000</c:v>
                </c:pt>
                <c:pt idx="51">
                  <c:v>34000000</c:v>
                </c:pt>
                <c:pt idx="52">
                  <c:v>46500000</c:v>
                </c:pt>
                <c:pt idx="53">
                  <c:v>46500000</c:v>
                </c:pt>
                <c:pt idx="54">
                  <c:v>34000000</c:v>
                </c:pt>
                <c:pt idx="55">
                  <c:v>61000000</c:v>
                </c:pt>
                <c:pt idx="56">
                  <c:v>59500000</c:v>
                </c:pt>
                <c:pt idx="57">
                  <c:v>41500000</c:v>
                </c:pt>
                <c:pt idx="58">
                  <c:v>52000000</c:v>
                </c:pt>
                <c:pt idx="59">
                  <c:v>44500000</c:v>
                </c:pt>
                <c:pt idx="60">
                  <c:v>56500000</c:v>
                </c:pt>
                <c:pt idx="61">
                  <c:v>53000000</c:v>
                </c:pt>
                <c:pt idx="62">
                  <c:v>50000000</c:v>
                </c:pt>
                <c:pt idx="63">
                  <c:v>55000000</c:v>
                </c:pt>
                <c:pt idx="64">
                  <c:v>36500000</c:v>
                </c:pt>
                <c:pt idx="65">
                  <c:v>46500000</c:v>
                </c:pt>
                <c:pt idx="66">
                  <c:v>45000000</c:v>
                </c:pt>
                <c:pt idx="67">
                  <c:v>45500000</c:v>
                </c:pt>
                <c:pt idx="68">
                  <c:v>43500000</c:v>
                </c:pt>
                <c:pt idx="69">
                  <c:v>35000000</c:v>
                </c:pt>
                <c:pt idx="70">
                  <c:v>30000000</c:v>
                </c:pt>
                <c:pt idx="71">
                  <c:v>39000000</c:v>
                </c:pt>
                <c:pt idx="72">
                  <c:v>44000000</c:v>
                </c:pt>
                <c:pt idx="73">
                  <c:v>30000000</c:v>
                </c:pt>
                <c:pt idx="74">
                  <c:v>43500000</c:v>
                </c:pt>
                <c:pt idx="75">
                  <c:v>18000000</c:v>
                </c:pt>
                <c:pt idx="76">
                  <c:v>21500000</c:v>
                </c:pt>
                <c:pt idx="77">
                  <c:v>46500000</c:v>
                </c:pt>
                <c:pt idx="78">
                  <c:v>50500000</c:v>
                </c:pt>
                <c:pt idx="79">
                  <c:v>54000000</c:v>
                </c:pt>
                <c:pt idx="80">
                  <c:v>50000000</c:v>
                </c:pt>
                <c:pt idx="81">
                  <c:v>36500000</c:v>
                </c:pt>
                <c:pt idx="82">
                  <c:v>40500000</c:v>
                </c:pt>
                <c:pt idx="83">
                  <c:v>50500000</c:v>
                </c:pt>
                <c:pt idx="84">
                  <c:v>40500000</c:v>
                </c:pt>
                <c:pt idx="85">
                  <c:v>38000000</c:v>
                </c:pt>
                <c:pt idx="86">
                  <c:v>45000000</c:v>
                </c:pt>
                <c:pt idx="87">
                  <c:v>45000000</c:v>
                </c:pt>
                <c:pt idx="88">
                  <c:v>37500000</c:v>
                </c:pt>
                <c:pt idx="89">
                  <c:v>28500000</c:v>
                </c:pt>
                <c:pt idx="90">
                  <c:v>37000000</c:v>
                </c:pt>
                <c:pt idx="91">
                  <c:v>37000000</c:v>
                </c:pt>
                <c:pt idx="92">
                  <c:v>32000000</c:v>
                </c:pt>
                <c:pt idx="93">
                  <c:v>37500000</c:v>
                </c:pt>
                <c:pt idx="94">
                  <c:v>39000000</c:v>
                </c:pt>
                <c:pt idx="95">
                  <c:v>30000000</c:v>
                </c:pt>
                <c:pt idx="96">
                  <c:v>26000000</c:v>
                </c:pt>
                <c:pt idx="97">
                  <c:v>37500000</c:v>
                </c:pt>
                <c:pt idx="98">
                  <c:v>30500000</c:v>
                </c:pt>
                <c:pt idx="99">
                  <c:v>33000000</c:v>
                </c:pt>
              </c:numCache>
            </c:numRef>
          </c:xVal>
          <c:yVal>
            <c:numRef>
              <c:f>'Deliverable 2 Ro'!$G$2:$G$101</c:f>
              <c:numCache>
                <c:formatCode>General</c:formatCode>
                <c:ptCount val="100"/>
                <c:pt idx="0">
                  <c:v>565000</c:v>
                </c:pt>
                <c:pt idx="1">
                  <c:v>405000</c:v>
                </c:pt>
                <c:pt idx="2">
                  <c:v>290000</c:v>
                </c:pt>
                <c:pt idx="3">
                  <c:v>260000</c:v>
                </c:pt>
                <c:pt idx="4">
                  <c:v>355000</c:v>
                </c:pt>
                <c:pt idx="5">
                  <c:v>340000</c:v>
                </c:pt>
                <c:pt idx="6">
                  <c:v>420000</c:v>
                </c:pt>
                <c:pt idx="7">
                  <c:v>455000</c:v>
                </c:pt>
                <c:pt idx="8">
                  <c:v>380000</c:v>
                </c:pt>
                <c:pt idx="9">
                  <c:v>94000</c:v>
                </c:pt>
                <c:pt idx="10">
                  <c:v>205000</c:v>
                </c:pt>
                <c:pt idx="11">
                  <c:v>355000</c:v>
                </c:pt>
                <c:pt idx="12">
                  <c:v>125000</c:v>
                </c:pt>
                <c:pt idx="13">
                  <c:v>285000</c:v>
                </c:pt>
                <c:pt idx="14">
                  <c:v>225000</c:v>
                </c:pt>
                <c:pt idx="15">
                  <c:v>205000</c:v>
                </c:pt>
                <c:pt idx="16">
                  <c:v>205000</c:v>
                </c:pt>
                <c:pt idx="17">
                  <c:v>145000</c:v>
                </c:pt>
                <c:pt idx="18">
                  <c:v>240000</c:v>
                </c:pt>
                <c:pt idx="19">
                  <c:v>240000</c:v>
                </c:pt>
                <c:pt idx="20">
                  <c:v>315000</c:v>
                </c:pt>
                <c:pt idx="21">
                  <c:v>200000</c:v>
                </c:pt>
                <c:pt idx="22">
                  <c:v>130000</c:v>
                </c:pt>
                <c:pt idx="23">
                  <c:v>300000</c:v>
                </c:pt>
                <c:pt idx="24">
                  <c:v>215000</c:v>
                </c:pt>
                <c:pt idx="25">
                  <c:v>100000</c:v>
                </c:pt>
                <c:pt idx="26">
                  <c:v>255000</c:v>
                </c:pt>
                <c:pt idx="27">
                  <c:v>285000</c:v>
                </c:pt>
                <c:pt idx="28">
                  <c:v>315000</c:v>
                </c:pt>
                <c:pt idx="29">
                  <c:v>165000</c:v>
                </c:pt>
                <c:pt idx="30">
                  <c:v>315000</c:v>
                </c:pt>
                <c:pt idx="31">
                  <c:v>205000</c:v>
                </c:pt>
                <c:pt idx="32">
                  <c:v>340000</c:v>
                </c:pt>
                <c:pt idx="33">
                  <c:v>265000</c:v>
                </c:pt>
                <c:pt idx="34">
                  <c:v>160000</c:v>
                </c:pt>
                <c:pt idx="35">
                  <c:v>285000</c:v>
                </c:pt>
                <c:pt idx="36">
                  <c:v>355000</c:v>
                </c:pt>
                <c:pt idx="37">
                  <c:v>150000</c:v>
                </c:pt>
                <c:pt idx="38">
                  <c:v>245000</c:v>
                </c:pt>
                <c:pt idx="39">
                  <c:v>165000</c:v>
                </c:pt>
                <c:pt idx="40">
                  <c:v>110000</c:v>
                </c:pt>
                <c:pt idx="41">
                  <c:v>77000</c:v>
                </c:pt>
                <c:pt idx="42">
                  <c:v>205000</c:v>
                </c:pt>
                <c:pt idx="43">
                  <c:v>130000</c:v>
                </c:pt>
                <c:pt idx="44">
                  <c:v>115000</c:v>
                </c:pt>
                <c:pt idx="45">
                  <c:v>210000</c:v>
                </c:pt>
                <c:pt idx="46">
                  <c:v>195000</c:v>
                </c:pt>
                <c:pt idx="47">
                  <c:v>230000</c:v>
                </c:pt>
                <c:pt idx="48">
                  <c:v>115000</c:v>
                </c:pt>
                <c:pt idx="49">
                  <c:v>250000</c:v>
                </c:pt>
                <c:pt idx="50">
                  <c:v>135000</c:v>
                </c:pt>
                <c:pt idx="51">
                  <c:v>155000</c:v>
                </c:pt>
                <c:pt idx="52">
                  <c:v>125000</c:v>
                </c:pt>
                <c:pt idx="53">
                  <c:v>260000</c:v>
                </c:pt>
                <c:pt idx="54">
                  <c:v>240000</c:v>
                </c:pt>
                <c:pt idx="55">
                  <c:v>195000</c:v>
                </c:pt>
                <c:pt idx="56">
                  <c:v>180000</c:v>
                </c:pt>
                <c:pt idx="57">
                  <c:v>125000</c:v>
                </c:pt>
                <c:pt idx="58">
                  <c:v>195000</c:v>
                </c:pt>
                <c:pt idx="59">
                  <c:v>165000</c:v>
                </c:pt>
                <c:pt idx="60">
                  <c:v>195000</c:v>
                </c:pt>
                <c:pt idx="61">
                  <c:v>195000</c:v>
                </c:pt>
                <c:pt idx="62">
                  <c:v>210000</c:v>
                </c:pt>
                <c:pt idx="63">
                  <c:v>135000</c:v>
                </c:pt>
                <c:pt idx="64">
                  <c:v>160000</c:v>
                </c:pt>
                <c:pt idx="65">
                  <c:v>175000</c:v>
                </c:pt>
                <c:pt idx="66">
                  <c:v>135000</c:v>
                </c:pt>
                <c:pt idx="67">
                  <c:v>130000</c:v>
                </c:pt>
                <c:pt idx="68">
                  <c:v>100000</c:v>
                </c:pt>
                <c:pt idx="69">
                  <c:v>175000</c:v>
                </c:pt>
                <c:pt idx="70">
                  <c:v>160000</c:v>
                </c:pt>
                <c:pt idx="71">
                  <c:v>150000</c:v>
                </c:pt>
                <c:pt idx="72">
                  <c:v>180000</c:v>
                </c:pt>
                <c:pt idx="73">
                  <c:v>160000</c:v>
                </c:pt>
                <c:pt idx="74">
                  <c:v>190000</c:v>
                </c:pt>
                <c:pt idx="75">
                  <c:v>185000</c:v>
                </c:pt>
                <c:pt idx="76">
                  <c:v>21000</c:v>
                </c:pt>
                <c:pt idx="77">
                  <c:v>82000</c:v>
                </c:pt>
                <c:pt idx="78">
                  <c:v>73000</c:v>
                </c:pt>
                <c:pt idx="79">
                  <c:v>215000</c:v>
                </c:pt>
                <c:pt idx="80">
                  <c:v>92000</c:v>
                </c:pt>
                <c:pt idx="81">
                  <c:v>115000</c:v>
                </c:pt>
                <c:pt idx="82">
                  <c:v>92000</c:v>
                </c:pt>
                <c:pt idx="83">
                  <c:v>77000</c:v>
                </c:pt>
                <c:pt idx="84">
                  <c:v>205000</c:v>
                </c:pt>
                <c:pt idx="85">
                  <c:v>110000</c:v>
                </c:pt>
                <c:pt idx="86">
                  <c:v>88000</c:v>
                </c:pt>
                <c:pt idx="87">
                  <c:v>180000</c:v>
                </c:pt>
                <c:pt idx="88">
                  <c:v>96000</c:v>
                </c:pt>
                <c:pt idx="89">
                  <c:v>170000</c:v>
                </c:pt>
                <c:pt idx="90">
                  <c:v>66000</c:v>
                </c:pt>
                <c:pt idx="91">
                  <c:v>235000</c:v>
                </c:pt>
                <c:pt idx="92">
                  <c:v>125000</c:v>
                </c:pt>
                <c:pt idx="93">
                  <c:v>215000</c:v>
                </c:pt>
                <c:pt idx="94">
                  <c:v>28000</c:v>
                </c:pt>
                <c:pt idx="95">
                  <c:v>115000</c:v>
                </c:pt>
                <c:pt idx="96">
                  <c:v>205000</c:v>
                </c:pt>
                <c:pt idx="97">
                  <c:v>110000</c:v>
                </c:pt>
                <c:pt idx="98">
                  <c:v>115000</c:v>
                </c:pt>
                <c:pt idx="99">
                  <c:v>160000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DE-4D29-B266-2D3594AF8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028928"/>
        <c:axId val="1785039488"/>
      </c:scatterChart>
      <c:valAx>
        <c:axId val="178502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Market</a:t>
                </a:r>
                <a:r>
                  <a:rPr lang="en-IN" baseline="0"/>
                  <a:t> Value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039488"/>
        <c:crosses val="autoZero"/>
        <c:crossBetween val="midCat"/>
      </c:valAx>
      <c:valAx>
        <c:axId val="178503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Player</a:t>
                </a:r>
                <a:r>
                  <a:rPr lang="en-IN" baseline="0"/>
                  <a:t> Wage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028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Player Market Value Box and Whisker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Player Market Value Box and Whisker Chart</a:t>
          </a:r>
        </a:p>
      </cx:txPr>
    </cx:title>
    <cx:plotArea>
      <cx:plotAreaRegion>
        <cx:series layoutId="boxWhisker" uniqueId="{5658751F-222E-4C67-8985-A38F3E80DB5F}">
          <cx:tx>
            <cx:txData>
              <cx:f>_xlchart.v1.0</cx:f>
              <cx:v>Value(v3)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value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value</a:t>
              </a:r>
            </a:p>
          </cx:txPr>
        </cx:title>
        <cx:tickLabels/>
      </cx:axis>
      <cx:axis id="1">
        <cx:valScaling/>
        <cx:title>
          <cx:tx>
            <cx:txData>
              <cx:v>Count of Value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Count of Value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Player Wage Box and Whisker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Player Wage Box and Whisker Plot</a:t>
          </a:r>
        </a:p>
      </cx:txPr>
    </cx:title>
    <cx:plotArea>
      <cx:plotAreaRegion>
        <cx:series layoutId="boxWhisker" uniqueId="{BE58C18E-4F57-4758-AD1A-80D805A529BE}">
          <cx:tx>
            <cx:txData>
              <cx:f>_xlchart.v1.2</cx:f>
              <cx:v>Wage(v4)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Player Wage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Player Wage</a:t>
              </a:r>
            </a:p>
          </cx:txPr>
        </cx:title>
        <cx:tickLabels/>
      </cx:axis>
      <cx:axis id="1">
        <cx:valScaling/>
        <cx:title>
          <cx:tx>
            <cx:txData>
              <cx:v>Count of Wage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Count of Wage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947822</xdr:colOff>
      <xdr:row>0</xdr:row>
      <xdr:rowOff>140688</xdr:rowOff>
    </xdr:from>
    <xdr:to>
      <xdr:col>10</xdr:col>
      <xdr:colOff>960244</xdr:colOff>
      <xdr:row>25</xdr:row>
      <xdr:rowOff>163365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A866FC-1D2B-49C2-9F00-B0FFC828BE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567717</xdr:colOff>
      <xdr:row>28</xdr:row>
      <xdr:rowOff>153164</xdr:rowOff>
    </xdr:from>
    <xdr:to>
      <xdr:col>10</xdr:col>
      <xdr:colOff>1006707</xdr:colOff>
      <xdr:row>53</xdr:row>
      <xdr:rowOff>140464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2DE38F-F597-4272-BE92-44978C0D4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674252</xdr:colOff>
      <xdr:row>63</xdr:row>
      <xdr:rowOff>64546</xdr:rowOff>
    </xdr:from>
    <xdr:to>
      <xdr:col>41</xdr:col>
      <xdr:colOff>340178</xdr:colOff>
      <xdr:row>80</xdr:row>
      <xdr:rowOff>41867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6A3C378-40B4-467B-B9B7-C877F44BAA22}"/>
            </a:ext>
          </a:extLst>
        </xdr:cNvPr>
        <xdr:cNvSpPr txBox="1"/>
      </xdr:nvSpPr>
      <xdr:spPr>
        <a:xfrm>
          <a:off x="41641277" y="12066046"/>
          <a:ext cx="5752401" cy="3215821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11</xdr:col>
      <xdr:colOff>77439</xdr:colOff>
      <xdr:row>0</xdr:row>
      <xdr:rowOff>139391</xdr:rowOff>
    </xdr:from>
    <xdr:to>
      <xdr:col>18</xdr:col>
      <xdr:colOff>154878</xdr:colOff>
      <xdr:row>25</xdr:row>
      <xdr:rowOff>170368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FEE634-FDE9-4578-9A8A-FD9853B5C0ED}"/>
            </a:ext>
          </a:extLst>
        </xdr:cNvPr>
        <xdr:cNvSpPr txBox="1"/>
      </xdr:nvSpPr>
      <xdr:spPr>
        <a:xfrm>
          <a:off x="12155139" y="139391"/>
          <a:ext cx="8211789" cy="4793477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2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196850</xdr:colOff>
      <xdr:row>1</xdr:row>
      <xdr:rowOff>171450</xdr:rowOff>
    </xdr:from>
    <xdr:to>
      <xdr:col>9</xdr:col>
      <xdr:colOff>590550</xdr:colOff>
      <xdr:row>18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B13EF2-EAF8-4DAB-8CD5-4CAF1D54E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285750</xdr:colOff>
      <xdr:row>23</xdr:row>
      <xdr:rowOff>6350</xdr:rowOff>
    </xdr:from>
    <xdr:to>
      <xdr:col>9</xdr:col>
      <xdr:colOff>590550</xdr:colOff>
      <xdr:row>39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5594BD-5743-4A5C-B4B5-E05960F6D7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114300</xdr:colOff>
      <xdr:row>2</xdr:row>
      <xdr:rowOff>44450</xdr:rowOff>
    </xdr:from>
    <xdr:to>
      <xdr:col>17</xdr:col>
      <xdr:colOff>311150</xdr:colOff>
      <xdr:row>13</xdr:row>
      <xdr:rowOff>6350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87F9BC2-B496-496A-8039-61BC97BE8305}"/>
            </a:ext>
          </a:extLst>
        </xdr:cNvPr>
        <xdr:cNvSpPr txBox="1"/>
      </xdr:nvSpPr>
      <xdr:spPr>
        <a:xfrm>
          <a:off x="6572250" y="425450"/>
          <a:ext cx="4464050" cy="20574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0</xdr:row>
      <xdr:rowOff>109537</xdr:rowOff>
    </xdr:from>
    <xdr:to>
      <xdr:col>27</xdr:col>
      <xdr:colOff>66675</xdr:colOff>
      <xdr:row>18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8021B3-89CD-E34D-136B-E655CBA4F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504825</xdr:colOff>
      <xdr:row>19</xdr:row>
      <xdr:rowOff>85725</xdr:rowOff>
    </xdr:from>
    <xdr:to>
      <xdr:col>11</xdr:col>
      <xdr:colOff>238125</xdr:colOff>
      <xdr:row>38</xdr:row>
      <xdr:rowOff>80963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AD84335-E209-4F16-8272-A1351187CB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9400" y="3705225"/>
              <a:ext cx="5219700" cy="36147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16</xdr:col>
      <xdr:colOff>104775</xdr:colOff>
      <xdr:row>20</xdr:row>
      <xdr:rowOff>142874</xdr:rowOff>
    </xdr:from>
    <xdr:ext cx="2714625" cy="26765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3399589-C234-6CC4-A80F-A8CDE1AC16A8}"/>
            </a:ext>
          </a:extLst>
        </xdr:cNvPr>
        <xdr:cNvSpPr txBox="1"/>
      </xdr:nvSpPr>
      <xdr:spPr>
        <a:xfrm>
          <a:off x="12334875" y="3962399"/>
          <a:ext cx="2714625" cy="267652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23812</xdr:rowOff>
    </xdr:from>
    <xdr:to>
      <xdr:col>20</xdr:col>
      <xdr:colOff>571500</xdr:colOff>
      <xdr:row>14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C8FFD0-C334-4450-AD1E-3CE87BD8F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16</xdr:row>
      <xdr:rowOff>0</xdr:rowOff>
    </xdr:from>
    <xdr:to>
      <xdr:col>11</xdr:col>
      <xdr:colOff>304800</xdr:colOff>
      <xdr:row>30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8E9E6C3-9A5E-44FA-8397-7A38A087CC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14650" y="3048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590550</xdr:colOff>
      <xdr:row>16</xdr:row>
      <xdr:rowOff>95250</xdr:rowOff>
    </xdr:from>
    <xdr:to>
      <xdr:col>20</xdr:col>
      <xdr:colOff>314325</xdr:colOff>
      <xdr:row>30</xdr:row>
      <xdr:rowOff>180975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D2614A6-6A7D-D9C8-60EA-04A45644AEDB}"/>
            </a:ext>
          </a:extLst>
        </xdr:cNvPr>
        <xdr:cNvSpPr txBox="1"/>
      </xdr:nvSpPr>
      <xdr:spPr>
        <a:xfrm>
          <a:off x="11677650" y="3152775"/>
          <a:ext cx="2771775" cy="275272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34</xdr:row>
      <xdr:rowOff>33336</xdr:rowOff>
    </xdr:from>
    <xdr:to>
      <xdr:col>16</xdr:col>
      <xdr:colOff>333375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B37DCA-7E9F-5D6E-6A2A-E68B1240C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42861</xdr:rowOff>
    </xdr:from>
    <xdr:to>
      <xdr:col>11</xdr:col>
      <xdr:colOff>714376</xdr:colOff>
      <xdr:row>60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212B8C-C99D-BEA2-6D58-54A98676B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19</xdr:row>
      <xdr:rowOff>9525</xdr:rowOff>
    </xdr:from>
    <xdr:to>
      <xdr:col>9</xdr:col>
      <xdr:colOff>304800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C48470-9673-4C91-A3ED-7DA813A49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eliverable%202%20Ro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ohith/Downloads/deliverable%20v1%20and%20v2.xlsb.xlsm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h" refreshedDate="45709.771786226855" createdVersion="8" refreshedVersion="8" minRefreshableVersion="3" recordCount="100" xr:uid="{B1FE5DF1-EB00-421D-AA5B-06A47C370B73}">
  <cacheSource type="worksheet">
    <worksheetSource ref="B1:AP101" sheet="Deliverable 2 Ro" r:id="rId2"/>
  </cacheSource>
  <cacheFields count="41">
    <cacheField name="Name" numFmtId="0">
      <sharedItems/>
    </cacheField>
    <cacheField name="Age(v1)" numFmtId="0">
      <sharedItems containsSemiMixedTypes="0" containsString="0" containsNumber="1" containsInteger="1" minValue="19" maxValue="40"/>
    </cacheField>
    <cacheField name="Nationality" numFmtId="0">
      <sharedItems/>
    </cacheField>
    <cacheField name="Club(v2)" numFmtId="0">
      <sharedItems/>
    </cacheField>
    <cacheField name="Value(v3)" numFmtId="0">
      <sharedItems containsSemiMixedTypes="0" containsString="0" containsNumber="1" containsInteger="1" minValue="4000000" maxValue="118500000" count="66">
        <n v="110500000"/>
        <n v="77000000"/>
        <n v="118500000"/>
        <n v="72000000"/>
        <n v="102000000"/>
        <n v="93000000"/>
        <n v="67000000"/>
        <n v="80000000"/>
        <n v="51000000"/>
        <n v="68000000"/>
        <n v="76500000"/>
        <n v="44000000"/>
        <n v="60000000"/>
        <n v="63000000"/>
        <n v="89000000"/>
        <n v="83500000"/>
        <n v="78000000"/>
        <n v="58000000"/>
        <n v="53500000"/>
        <n v="51500000"/>
        <n v="38000000"/>
        <n v="64500000"/>
        <n v="27000000"/>
        <n v="81000000"/>
        <n v="69500000"/>
        <n v="59500000"/>
        <n v="62000000"/>
        <n v="73500000"/>
        <n v="59000000"/>
        <n v="46000000"/>
        <n v="43000000"/>
        <n v="36000000"/>
        <n v="57000000"/>
        <n v="24000000"/>
        <n v="30000000"/>
        <n v="4000000"/>
        <n v="64000000"/>
        <n v="30500000"/>
        <n v="62500000"/>
        <n v="52000000"/>
        <n v="45000000"/>
        <n v="34000000"/>
        <n v="46500000"/>
        <n v="61000000"/>
        <n v="41500000"/>
        <n v="44500000"/>
        <n v="56500000"/>
        <n v="53000000"/>
        <n v="50000000"/>
        <n v="55000000"/>
        <n v="36500000"/>
        <n v="45500000"/>
        <n v="43500000"/>
        <n v="35000000"/>
        <n v="39000000"/>
        <n v="18000000"/>
        <n v="21500000"/>
        <n v="50500000"/>
        <n v="54000000"/>
        <n v="40500000"/>
        <n v="37500000"/>
        <n v="28500000"/>
        <n v="37000000"/>
        <n v="32000000"/>
        <n v="26000000"/>
        <n v="33000000"/>
      </sharedItems>
      <fieldGroup base="4">
        <rangePr startNum="4000000" endNum="118500000" groupInterval="10000000"/>
        <groupItems count="14">
          <s v="&lt;4000000"/>
          <s v="4000000-13999999"/>
          <s v="14000000-23999999"/>
          <s v="24000000-33999999"/>
          <s v="34000000-43999999"/>
          <s v="44000000-53999999"/>
          <s v="54000000-63999999"/>
          <s v="64000000-73999999"/>
          <s v="74000000-83999999"/>
          <s v="84000000-93999999"/>
          <s v="94000000-103999999"/>
          <s v="104000000-113999999"/>
          <s v="114000000-123999999"/>
          <s v="&gt;124000000"/>
        </groupItems>
      </fieldGroup>
    </cacheField>
    <cacheField name="Wage(v4)" numFmtId="0">
      <sharedItems containsSemiMixedTypes="0" containsString="0" containsNumber="1" containsInteger="1" minValue="21000" maxValue="565000"/>
    </cacheField>
    <cacheField name="Position" numFmtId="0">
      <sharedItems/>
    </cacheField>
    <cacheField name="Crossing" numFmtId="0">
      <sharedItems containsSemiMixedTypes="0" containsString="0" containsNumber="1" containsInteger="1" minValue="11" maxValue="93"/>
    </cacheField>
    <cacheField name="Finishing" numFmtId="0">
      <sharedItems containsSemiMixedTypes="0" containsString="0" containsNumber="1" containsInteger="1" minValue="10" maxValue="95"/>
    </cacheField>
    <cacheField name="HeadingAccuracy" numFmtId="0">
      <sharedItems containsSemiMixedTypes="0" containsString="0" containsNumber="1" containsInteger="1" minValue="10" maxValue="92"/>
    </cacheField>
    <cacheField name="ShortPassing" numFmtId="0">
      <sharedItems containsSemiMixedTypes="0" containsString="0" containsNumber="1" containsInteger="1" minValue="29" maxValue="93"/>
    </cacheField>
    <cacheField name="Volleys" numFmtId="0">
      <sharedItems containsSemiMixedTypes="0" containsString="0" containsNumber="1" containsInteger="1" minValue="11" maxValue="90"/>
    </cacheField>
    <cacheField name="Dribbling" numFmtId="0">
      <sharedItems containsSemiMixedTypes="0" containsString="0" containsNumber="1" containsInteger="1" minValue="10" maxValue="97"/>
    </cacheField>
    <cacheField name="Curve" numFmtId="0">
      <sharedItems containsSemiMixedTypes="0" containsString="0" containsNumber="1" containsInteger="1" minValue="11" maxValue="93"/>
    </cacheField>
    <cacheField name="FKAccuracy" numFmtId="0">
      <sharedItems containsSemiMixedTypes="0" containsString="0" containsNumber="1" containsInteger="1" minValue="10" maxValue="94"/>
    </cacheField>
    <cacheField name="LongPassing" numFmtId="0">
      <sharedItems containsSemiMixedTypes="0" containsString="0" containsNumber="1" containsInteger="1" minValue="26" maxValue="93"/>
    </cacheField>
    <cacheField name="BallControl" numFmtId="0">
      <sharedItems containsSemiMixedTypes="0" containsString="0" containsNumber="1" containsInteger="1" minValue="16" maxValue="96"/>
    </cacheField>
    <cacheField name="Acceleration" numFmtId="0">
      <sharedItems containsSemiMixedTypes="0" containsString="0" containsNumber="1" containsInteger="1" minValue="38" maxValue="97"/>
    </cacheField>
    <cacheField name="SprintSpeed" numFmtId="0">
      <sharedItems containsSemiMixedTypes="0" containsString="0" containsNumber="1" containsInteger="1" minValue="43" maxValue="96"/>
    </cacheField>
    <cacheField name="Agility" numFmtId="0">
      <sharedItems containsSemiMixedTypes="0" containsString="0" containsNumber="1" containsInteger="1" minValue="37" maxValue="96"/>
    </cacheField>
    <cacheField name="Reactions" numFmtId="0">
      <sharedItems containsSemiMixedTypes="0" containsString="0" containsNumber="1" containsInteger="1" minValue="77" maxValue="96"/>
    </cacheField>
    <cacheField name="Balance" numFmtId="0">
      <sharedItems containsSemiMixedTypes="0" containsString="0" containsNumber="1" containsInteger="1" minValue="35" maxValue="95"/>
    </cacheField>
    <cacheField name="ShotPower" numFmtId="0">
      <sharedItems containsSemiMixedTypes="0" containsString="0" containsNumber="1" containsInteger="1" minValue="15" maxValue="95"/>
    </cacheField>
    <cacheField name="Jumping" numFmtId="0">
      <sharedItems containsSemiMixedTypes="0" containsString="0" containsNumber="1" containsInteger="1" minValue="30" maxValue="95"/>
    </cacheField>
    <cacheField name="Stamina" numFmtId="0">
      <sharedItems containsSemiMixedTypes="0" containsString="0" containsNumber="1" containsInteger="1" minValue="32" maxValue="96"/>
    </cacheField>
    <cacheField name="Strength" numFmtId="0">
      <sharedItems containsSemiMixedTypes="0" containsString="0" containsNumber="1" containsInteger="1" minValue="42" maxValue="94"/>
    </cacheField>
    <cacheField name="LongShots" numFmtId="0">
      <sharedItems containsSemiMixedTypes="0" containsString="0" containsNumber="1" containsInteger="1" minValue="10" maxValue="94"/>
    </cacheField>
    <cacheField name="Aggression" numFmtId="0">
      <sharedItems containsSemiMixedTypes="0" containsString="0" containsNumber="1" containsInteger="1" minValue="23" maxValue="93"/>
    </cacheField>
    <cacheField name="Interceptions" numFmtId="0">
      <sharedItems containsSemiMixedTypes="0" containsString="0" containsNumber="1" containsInteger="1" minValue="11" maxValue="92"/>
    </cacheField>
    <cacheField name="Positioning" numFmtId="0">
      <sharedItems containsSemiMixedTypes="0" containsString="0" containsNumber="1" containsInteger="1" minValue="10" maxValue="95"/>
    </cacheField>
    <cacheField name="Vision" numFmtId="0">
      <sharedItems containsSemiMixedTypes="0" containsString="0" containsNumber="1" containsInteger="1" minValue="22" maxValue="94"/>
    </cacheField>
    <cacheField name="Penalties" numFmtId="0">
      <sharedItems containsSemiMixedTypes="0" containsString="0" containsNumber="1" containsInteger="1" minValue="11" maxValue="90"/>
    </cacheField>
    <cacheField name="Composure" numFmtId="0">
      <sharedItems containsSemiMixedTypes="0" containsString="0" containsNumber="1" containsInteger="1" minValue="65" maxValue="96"/>
    </cacheField>
    <cacheField name="Marking" numFmtId="0">
      <sharedItems containsSemiMixedTypes="0" containsString="0" containsNumber="1" containsInteger="1" minValue="13" maxValue="93"/>
    </cacheField>
    <cacheField name="StandingTackle" numFmtId="0">
      <sharedItems containsSemiMixedTypes="0" containsString="0" containsNumber="1" containsInteger="1" minValue="10" maxValue="93"/>
    </cacheField>
    <cacheField name="SlidingTackle" numFmtId="0">
      <sharedItems containsSemiMixedTypes="0" containsString="0" containsNumber="1" containsInteger="1" minValue="8" maxValue="91"/>
    </cacheField>
    <cacheField name="GKDiving" numFmtId="0">
      <sharedItems containsSemiMixedTypes="0" containsString="0" containsNumber="1" containsInteger="1" minValue="2" maxValue="90"/>
    </cacheField>
    <cacheField name="GKHandling" numFmtId="0">
      <sharedItems containsSemiMixedTypes="0" containsString="0" containsNumber="1" containsInteger="1" minValue="2" maxValue="92"/>
    </cacheField>
    <cacheField name="GKKicking" numFmtId="0">
      <sharedItems containsSemiMixedTypes="0" containsString="0" containsNumber="1" containsInteger="1" minValue="2" maxValue="91"/>
    </cacheField>
    <cacheField name="GKPositioning" numFmtId="0">
      <sharedItems containsSemiMixedTypes="0" containsString="0" containsNumber="1" containsInteger="1" minValue="2" maxValue="90"/>
    </cacheField>
    <cacheField name="GKReflexes" numFmtId="0">
      <sharedItems containsSemiMixedTypes="0" containsString="0" containsNumber="1" containsInteger="1" minValue="3" maxValue="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h" refreshedDate="45709.794488888889" createdVersion="8" refreshedVersion="8" minRefreshableVersion="3" recordCount="100" xr:uid="{7731E871-11D6-4C10-9742-EED69BC62E9F}">
  <cacheSource type="worksheet">
    <worksheetSource ref="B1:AP101" sheet="Deliverable 2 Ro"/>
  </cacheSource>
  <cacheFields count="41">
    <cacheField name="Name" numFmtId="0">
      <sharedItems/>
    </cacheField>
    <cacheField name="Age(v1)" numFmtId="0">
      <sharedItems containsSemiMixedTypes="0" containsString="0" containsNumber="1" containsInteger="1" minValue="19" maxValue="40" count="15">
        <n v="31"/>
        <n v="33"/>
        <n v="26"/>
        <n v="27"/>
        <n v="32"/>
        <n v="25"/>
        <n v="29"/>
        <n v="28"/>
        <n v="24"/>
        <n v="30"/>
        <n v="19"/>
        <n v="40"/>
        <n v="22"/>
        <n v="23"/>
        <n v="34"/>
      </sharedItems>
      <fieldGroup base="1">
        <rangePr startNum="19" endNum="40" groupInterval="2"/>
        <groupItems count="13">
          <s v="&lt;19"/>
          <s v="19-20"/>
          <s v="21-22"/>
          <s v="23-24"/>
          <s v="25-26"/>
          <s v="27-28"/>
          <s v="29-30"/>
          <s v="31-32"/>
          <s v="33-34"/>
          <s v="35-36"/>
          <s v="37-38"/>
          <s v="39-40"/>
          <s v="&gt;41"/>
        </groupItems>
      </fieldGroup>
    </cacheField>
    <cacheField name="Nationality" numFmtId="0">
      <sharedItems/>
    </cacheField>
    <cacheField name="Club(v2)" numFmtId="0">
      <sharedItems count="23">
        <s v="FC Barcelona"/>
        <s v="Juventus"/>
        <s v="Paris Saint-Germain"/>
        <s v="Manchester United"/>
        <s v="Manchester City"/>
        <s v="Chelsea"/>
        <s v="Real Madrid"/>
        <s v="Atletico Madrid"/>
        <s v="FC Bayern Munich"/>
        <s v="Tottenham Hotspur"/>
        <s v="Liverpool"/>
        <s v="Napoli"/>
        <s v="Arsenal"/>
        <s v="Milan"/>
        <s v="Inter"/>
        <s v="Lazio"/>
        <s v="Borussia Dortmund"/>
        <s v="Vissel Kobe"/>
        <s v="Olympique Lyonnais"/>
        <s v="Roma"/>
        <s v="Valencia CF"/>
        <s v="Guangzhou Evergrande Taobao FC"/>
        <s v="FC Porto"/>
      </sharedItems>
    </cacheField>
    <cacheField name="Value(v3)" numFmtId="0">
      <sharedItems containsSemiMixedTypes="0" containsString="0" containsNumber="1" containsInteger="1" minValue="4000000" maxValue="118500000" count="66">
        <n v="110500000"/>
        <n v="77000000"/>
        <n v="118500000"/>
        <n v="72000000"/>
        <n v="102000000"/>
        <n v="93000000"/>
        <n v="67000000"/>
        <n v="80000000"/>
        <n v="51000000"/>
        <n v="68000000"/>
        <n v="76500000"/>
        <n v="44000000"/>
        <n v="60000000"/>
        <n v="63000000"/>
        <n v="89000000"/>
        <n v="83500000"/>
        <n v="78000000"/>
        <n v="58000000"/>
        <n v="53500000"/>
        <n v="51500000"/>
        <n v="38000000"/>
        <n v="64500000"/>
        <n v="27000000"/>
        <n v="81000000"/>
        <n v="69500000"/>
        <n v="59500000"/>
        <n v="62000000"/>
        <n v="73500000"/>
        <n v="59000000"/>
        <n v="46000000"/>
        <n v="43000000"/>
        <n v="36000000"/>
        <n v="57000000"/>
        <n v="24000000"/>
        <n v="30000000"/>
        <n v="4000000"/>
        <n v="64000000"/>
        <n v="30500000"/>
        <n v="62500000"/>
        <n v="52000000"/>
        <n v="45000000"/>
        <n v="34000000"/>
        <n v="46500000"/>
        <n v="61000000"/>
        <n v="41500000"/>
        <n v="44500000"/>
        <n v="56500000"/>
        <n v="53000000"/>
        <n v="50000000"/>
        <n v="55000000"/>
        <n v="36500000"/>
        <n v="45500000"/>
        <n v="43500000"/>
        <n v="35000000"/>
        <n v="39000000"/>
        <n v="18000000"/>
        <n v="21500000"/>
        <n v="50500000"/>
        <n v="54000000"/>
        <n v="40500000"/>
        <n v="37500000"/>
        <n v="28500000"/>
        <n v="37000000"/>
        <n v="32000000"/>
        <n v="26000000"/>
        <n v="33000000"/>
      </sharedItems>
      <fieldGroup base="4">
        <rangePr startNum="4000000" endNum="118500000" groupInterval="10000000"/>
        <groupItems count="14">
          <s v="&lt;4000000"/>
          <s v="4000000-13999999"/>
          <s v="14000000-23999999"/>
          <s v="24000000-33999999"/>
          <s v="34000000-43999999"/>
          <s v="44000000-53999999"/>
          <s v="54000000-63999999"/>
          <s v="64000000-73999999"/>
          <s v="74000000-83999999"/>
          <s v="84000000-93999999"/>
          <s v="94000000-103999999"/>
          <s v="104000000-113999999"/>
          <s v="114000000-123999999"/>
          <s v="&gt;124000000"/>
        </groupItems>
      </fieldGroup>
    </cacheField>
    <cacheField name="Wage(v4)" numFmtId="0">
      <sharedItems containsSemiMixedTypes="0" containsString="0" containsNumber="1" containsInteger="1" minValue="21000" maxValue="565000" count="51">
        <n v="565000"/>
        <n v="405000"/>
        <n v="290000"/>
        <n v="260000"/>
        <n v="355000"/>
        <n v="340000"/>
        <n v="420000"/>
        <n v="455000"/>
        <n v="380000"/>
        <n v="94000"/>
        <n v="205000"/>
        <n v="125000"/>
        <n v="285000"/>
        <n v="225000"/>
        <n v="145000"/>
        <n v="240000"/>
        <n v="315000"/>
        <n v="200000"/>
        <n v="130000"/>
        <n v="300000"/>
        <n v="215000"/>
        <n v="100000"/>
        <n v="255000"/>
        <n v="165000"/>
        <n v="265000"/>
        <n v="160000"/>
        <n v="150000"/>
        <n v="245000"/>
        <n v="110000"/>
        <n v="77000"/>
        <n v="115000"/>
        <n v="210000"/>
        <n v="195000"/>
        <n v="230000"/>
        <n v="250000"/>
        <n v="135000"/>
        <n v="155000"/>
        <n v="180000"/>
        <n v="175000"/>
        <n v="190000"/>
        <n v="185000"/>
        <n v="21000"/>
        <n v="82000"/>
        <n v="73000"/>
        <n v="92000"/>
        <n v="88000"/>
        <n v="96000"/>
        <n v="170000"/>
        <n v="66000"/>
        <n v="235000"/>
        <n v="28000"/>
      </sharedItems>
      <fieldGroup base="5">
        <rangePr autoEnd="0" startNum="21000" endNum="420999" groupInterval="50000"/>
        <groupItems count="10">
          <s v="&lt;21000"/>
          <s v="21000-70999"/>
          <s v="71000-120999"/>
          <s v="121000-170999"/>
          <s v="171000-220999"/>
          <s v="221000-270999"/>
          <s v="271000-320999"/>
          <s v="321000-370999"/>
          <s v="371000-420999"/>
          <s v="&gt;421000"/>
        </groupItems>
      </fieldGroup>
    </cacheField>
    <cacheField name="Position" numFmtId="0">
      <sharedItems/>
    </cacheField>
    <cacheField name="Crossing" numFmtId="0">
      <sharedItems containsSemiMixedTypes="0" containsString="0" containsNumber="1" containsInteger="1" minValue="11" maxValue="93"/>
    </cacheField>
    <cacheField name="Finishing" numFmtId="0">
      <sharedItems containsSemiMixedTypes="0" containsString="0" containsNumber="1" containsInteger="1" minValue="10" maxValue="95"/>
    </cacheField>
    <cacheField name="HeadingAccuracy" numFmtId="0">
      <sharedItems containsSemiMixedTypes="0" containsString="0" containsNumber="1" containsInteger="1" minValue="10" maxValue="92"/>
    </cacheField>
    <cacheField name="ShortPassing" numFmtId="0">
      <sharedItems containsSemiMixedTypes="0" containsString="0" containsNumber="1" containsInteger="1" minValue="29" maxValue="93"/>
    </cacheField>
    <cacheField name="Volleys" numFmtId="0">
      <sharedItems containsSemiMixedTypes="0" containsString="0" containsNumber="1" containsInteger="1" minValue="11" maxValue="90"/>
    </cacheField>
    <cacheField name="Dribbling" numFmtId="0">
      <sharedItems containsSemiMixedTypes="0" containsString="0" containsNumber="1" containsInteger="1" minValue="10" maxValue="97"/>
    </cacheField>
    <cacheField name="Curve" numFmtId="0">
      <sharedItems containsSemiMixedTypes="0" containsString="0" containsNumber="1" containsInteger="1" minValue="11" maxValue="93"/>
    </cacheField>
    <cacheField name="FKAccuracy" numFmtId="0">
      <sharedItems containsSemiMixedTypes="0" containsString="0" containsNumber="1" containsInteger="1" minValue="10" maxValue="94"/>
    </cacheField>
    <cacheField name="LongPassing" numFmtId="0">
      <sharedItems containsSemiMixedTypes="0" containsString="0" containsNumber="1" containsInteger="1" minValue="26" maxValue="93"/>
    </cacheField>
    <cacheField name="BallControl" numFmtId="0">
      <sharedItems containsSemiMixedTypes="0" containsString="0" containsNumber="1" containsInteger="1" minValue="16" maxValue="96"/>
    </cacheField>
    <cacheField name="Acceleration" numFmtId="0">
      <sharedItems containsSemiMixedTypes="0" containsString="0" containsNumber="1" containsInteger="1" minValue="38" maxValue="97"/>
    </cacheField>
    <cacheField name="SprintSpeed" numFmtId="0">
      <sharedItems containsSemiMixedTypes="0" containsString="0" containsNumber="1" containsInteger="1" minValue="43" maxValue="96"/>
    </cacheField>
    <cacheField name="Agility" numFmtId="0">
      <sharedItems containsSemiMixedTypes="0" containsString="0" containsNumber="1" containsInteger="1" minValue="37" maxValue="96"/>
    </cacheField>
    <cacheField name="Reactions" numFmtId="0">
      <sharedItems containsSemiMixedTypes="0" containsString="0" containsNumber="1" containsInteger="1" minValue="77" maxValue="96"/>
    </cacheField>
    <cacheField name="Balance" numFmtId="0">
      <sharedItems containsSemiMixedTypes="0" containsString="0" containsNumber="1" containsInteger="1" minValue="35" maxValue="95"/>
    </cacheField>
    <cacheField name="ShotPower" numFmtId="0">
      <sharedItems containsSemiMixedTypes="0" containsString="0" containsNumber="1" containsInteger="1" minValue="15" maxValue="95"/>
    </cacheField>
    <cacheField name="Jumping" numFmtId="0">
      <sharedItems containsSemiMixedTypes="0" containsString="0" containsNumber="1" containsInteger="1" minValue="30" maxValue="95"/>
    </cacheField>
    <cacheField name="Stamina" numFmtId="0">
      <sharedItems containsSemiMixedTypes="0" containsString="0" containsNumber="1" containsInteger="1" minValue="32" maxValue="96"/>
    </cacheField>
    <cacheField name="Strength" numFmtId="0">
      <sharedItems containsSemiMixedTypes="0" containsString="0" containsNumber="1" containsInteger="1" minValue="42" maxValue="94"/>
    </cacheField>
    <cacheField name="LongShots" numFmtId="0">
      <sharedItems containsSemiMixedTypes="0" containsString="0" containsNumber="1" containsInteger="1" minValue="10" maxValue="94"/>
    </cacheField>
    <cacheField name="Aggression" numFmtId="0">
      <sharedItems containsSemiMixedTypes="0" containsString="0" containsNumber="1" containsInteger="1" minValue="23" maxValue="93"/>
    </cacheField>
    <cacheField name="Interceptions" numFmtId="0">
      <sharedItems containsSemiMixedTypes="0" containsString="0" containsNumber="1" containsInteger="1" minValue="11" maxValue="92"/>
    </cacheField>
    <cacheField name="Positioning" numFmtId="0">
      <sharedItems containsSemiMixedTypes="0" containsString="0" containsNumber="1" containsInteger="1" minValue="10" maxValue="95"/>
    </cacheField>
    <cacheField name="Vision" numFmtId="0">
      <sharedItems containsSemiMixedTypes="0" containsString="0" containsNumber="1" containsInteger="1" minValue="22" maxValue="94"/>
    </cacheField>
    <cacheField name="Penalties" numFmtId="0">
      <sharedItems containsSemiMixedTypes="0" containsString="0" containsNumber="1" containsInteger="1" minValue="11" maxValue="90"/>
    </cacheField>
    <cacheField name="Composure" numFmtId="0">
      <sharedItems containsSemiMixedTypes="0" containsString="0" containsNumber="1" containsInteger="1" minValue="65" maxValue="96"/>
    </cacheField>
    <cacheField name="Marking" numFmtId="0">
      <sharedItems containsSemiMixedTypes="0" containsString="0" containsNumber="1" containsInteger="1" minValue="13" maxValue="93"/>
    </cacheField>
    <cacheField name="StandingTackle" numFmtId="0">
      <sharedItems containsSemiMixedTypes="0" containsString="0" containsNumber="1" containsInteger="1" minValue="10" maxValue="93"/>
    </cacheField>
    <cacheField name="SlidingTackle" numFmtId="0">
      <sharedItems containsSemiMixedTypes="0" containsString="0" containsNumber="1" containsInteger="1" minValue="8" maxValue="91"/>
    </cacheField>
    <cacheField name="GKDiving" numFmtId="0">
      <sharedItems containsSemiMixedTypes="0" containsString="0" containsNumber="1" containsInteger="1" minValue="2" maxValue="90"/>
    </cacheField>
    <cacheField name="GKHandling" numFmtId="0">
      <sharedItems containsSemiMixedTypes="0" containsString="0" containsNumber="1" containsInteger="1" minValue="2" maxValue="92"/>
    </cacheField>
    <cacheField name="GKKicking" numFmtId="0">
      <sharedItems containsSemiMixedTypes="0" containsString="0" containsNumber="1" containsInteger="1" minValue="2" maxValue="91"/>
    </cacheField>
    <cacheField name="GKPositioning" numFmtId="0">
      <sharedItems containsSemiMixedTypes="0" containsString="0" containsNumber="1" containsInteger="1" minValue="2" maxValue="90"/>
    </cacheField>
    <cacheField name="GKReflexes" numFmtId="0">
      <sharedItems containsSemiMixedTypes="0" containsString="0" containsNumber="1" containsInteger="1" minValue="3" maxValue="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 Reddy" refreshedDate="45709.865659374998" createdVersion="8" refreshedVersion="8" minRefreshableVersion="3" recordCount="100" xr:uid="{27489775-2524-42FC-8532-D51058483B41}">
  <cacheSource type="worksheet">
    <worksheetSource ref="B1:AP101" sheet="Raw Data 1" r:id="rId2"/>
  </cacheSource>
  <cacheFields count="41">
    <cacheField name="Name" numFmtId="0">
      <sharedItems/>
    </cacheField>
    <cacheField name="Age" numFmtId="0">
      <sharedItems containsSemiMixedTypes="0" containsString="0" containsNumber="1" containsInteger="1" minValue="19" maxValue="40" count="15">
        <n v="31"/>
        <n v="33"/>
        <n v="26"/>
        <n v="27"/>
        <n v="32"/>
        <n v="25"/>
        <n v="29"/>
        <n v="28"/>
        <n v="24"/>
        <n v="30"/>
        <n v="19"/>
        <n v="40"/>
        <n v="22"/>
        <n v="23"/>
        <n v="34"/>
      </sharedItems>
    </cacheField>
    <cacheField name="Nationality" numFmtId="0">
      <sharedItems/>
    </cacheField>
    <cacheField name="Club" numFmtId="0">
      <sharedItems count="25">
        <s v="FC Barcelona"/>
        <s v="Juventus"/>
        <s v="Paris Saint-Germain"/>
        <s v="Manchester United"/>
        <s v="Manchester City"/>
        <s v="Chelsea"/>
        <s v="Real Madrid"/>
        <s v="Atletico Madrid"/>
        <s v="FC Bayern Munich"/>
        <s v="Tottenham Hotspur"/>
        <s v="Liverpool"/>
        <s v="Napoli"/>
        <s v="Arsenal"/>
        <s v="Milan"/>
        <s v="Inter"/>
        <s v="Lazio"/>
        <s v="Borussia Dortmund"/>
        <s v="Vissel Kobe"/>
        <s v="Olympique Lyonnais"/>
        <s v="Roma"/>
        <s v="Valencia CF"/>
        <s v="Guangzhou Evergrande Taobao FC"/>
        <s v="FC Porto"/>
        <s v="AtlÃ©tico Madrid" u="1"/>
        <s v="FC Bayern MÃ¼nchen" u="1"/>
      </sharedItems>
    </cacheField>
    <cacheField name="Value" numFmtId="0">
      <sharedItems containsSemiMixedTypes="0" containsString="0" containsNumber="1" containsInteger="1" minValue="4000000" maxValue="118500000" count="66">
        <n v="110500000"/>
        <n v="77000000"/>
        <n v="118500000"/>
        <n v="72000000"/>
        <n v="102000000"/>
        <n v="93000000"/>
        <n v="67000000"/>
        <n v="80000000"/>
        <n v="51000000"/>
        <n v="68000000"/>
        <n v="76500000"/>
        <n v="44000000"/>
        <n v="60000000"/>
        <n v="63000000"/>
        <n v="89000000"/>
        <n v="83500000"/>
        <n v="78000000"/>
        <n v="58000000"/>
        <n v="53500000"/>
        <n v="51500000"/>
        <n v="38000000"/>
        <n v="64500000"/>
        <n v="27000000"/>
        <n v="81000000"/>
        <n v="69500000"/>
        <n v="59500000"/>
        <n v="62000000"/>
        <n v="73500000"/>
        <n v="59000000"/>
        <n v="46000000"/>
        <n v="43000000"/>
        <n v="36000000"/>
        <n v="57000000"/>
        <n v="24000000"/>
        <n v="30000000"/>
        <n v="4000000"/>
        <n v="64000000"/>
        <n v="30500000"/>
        <n v="62500000"/>
        <n v="52000000"/>
        <n v="45000000"/>
        <n v="34000000"/>
        <n v="46500000"/>
        <n v="61000000"/>
        <n v="41500000"/>
        <n v="44500000"/>
        <n v="56500000"/>
        <n v="53000000"/>
        <n v="50000000"/>
        <n v="55000000"/>
        <n v="36500000"/>
        <n v="45500000"/>
        <n v="43500000"/>
        <n v="35000000"/>
        <n v="39000000"/>
        <n v="18000000"/>
        <n v="21500000"/>
        <n v="50500000"/>
        <n v="54000000"/>
        <n v="40500000"/>
        <n v="37500000"/>
        <n v="28500000"/>
        <n v="37000000"/>
        <n v="32000000"/>
        <n v="26000000"/>
        <n v="33000000"/>
      </sharedItems>
      <fieldGroup base="4">
        <rangePr autoStart="0" autoEnd="0" startNum="24000000" endNum="84000000" groupInterval="10000000"/>
        <groupItems count="8">
          <s v="&lt;24000000"/>
          <s v="24000000-33999999"/>
          <s v="34000000-43999999"/>
          <s v="44000000-53999999"/>
          <s v="54000000-63999999"/>
          <s v="64000000-73999999"/>
          <s v="74000000-84000000"/>
          <s v="&gt;84000000"/>
        </groupItems>
      </fieldGroup>
    </cacheField>
    <cacheField name="Wage" numFmtId="0">
      <sharedItems containsSemiMixedTypes="0" containsString="0" containsNumber="1" containsInteger="1" minValue="21000" maxValue="565000" count="51">
        <n v="565000"/>
        <n v="405000"/>
        <n v="290000"/>
        <n v="260000"/>
        <n v="355000"/>
        <n v="340000"/>
        <n v="420000"/>
        <n v="455000"/>
        <n v="380000"/>
        <n v="94000"/>
        <n v="205000"/>
        <n v="125000"/>
        <n v="285000"/>
        <n v="225000"/>
        <n v="145000"/>
        <n v="240000"/>
        <n v="315000"/>
        <n v="200000"/>
        <n v="130000"/>
        <n v="300000"/>
        <n v="215000"/>
        <n v="100000"/>
        <n v="255000"/>
        <n v="165000"/>
        <n v="265000"/>
        <n v="160000"/>
        <n v="150000"/>
        <n v="245000"/>
        <n v="110000"/>
        <n v="77000"/>
        <n v="115000"/>
        <n v="210000"/>
        <n v="195000"/>
        <n v="230000"/>
        <n v="250000"/>
        <n v="135000"/>
        <n v="155000"/>
        <n v="180000"/>
        <n v="175000"/>
        <n v="190000"/>
        <n v="185000"/>
        <n v="21000"/>
        <n v="82000"/>
        <n v="73000"/>
        <n v="92000"/>
        <n v="88000"/>
        <n v="96000"/>
        <n v="170000"/>
        <n v="66000"/>
        <n v="235000"/>
        <n v="28000"/>
      </sharedItems>
      <fieldGroup base="5">
        <rangePr autoEnd="0" startNum="21000" endNum="429999" groupInterval="50000"/>
        <groupItems count="11">
          <s v="&lt;21000"/>
          <s v="21000-70999"/>
          <s v="71000-120999"/>
          <s v="121000-170999"/>
          <s v="171000-220999"/>
          <s v="221000-270999"/>
          <s v="271000-320999"/>
          <s v="321000-370999"/>
          <s v="371000-420999"/>
          <s v="421000-470999"/>
          <s v="&gt;471000"/>
        </groupItems>
      </fieldGroup>
    </cacheField>
    <cacheField name="Position" numFmtId="0">
      <sharedItems/>
    </cacheField>
    <cacheField name="Crossing" numFmtId="0">
      <sharedItems containsSemiMixedTypes="0" containsString="0" containsNumber="1" containsInteger="1" minValue="11" maxValue="93"/>
    </cacheField>
    <cacheField name="Finishing" numFmtId="0">
      <sharedItems containsSemiMixedTypes="0" containsString="0" containsNumber="1" containsInteger="1" minValue="10" maxValue="95"/>
    </cacheField>
    <cacheField name="HeadingAccuracy" numFmtId="0">
      <sharedItems containsSemiMixedTypes="0" containsString="0" containsNumber="1" containsInteger="1" minValue="10" maxValue="92"/>
    </cacheField>
    <cacheField name="ShortPassing" numFmtId="0">
      <sharedItems containsSemiMixedTypes="0" containsString="0" containsNumber="1" containsInteger="1" minValue="29" maxValue="93"/>
    </cacheField>
    <cacheField name="Volleys" numFmtId="0">
      <sharedItems containsSemiMixedTypes="0" containsString="0" containsNumber="1" containsInteger="1" minValue="11" maxValue="90"/>
    </cacheField>
    <cacheField name="Dribbling" numFmtId="0">
      <sharedItems containsSemiMixedTypes="0" containsString="0" containsNumber="1" containsInteger="1" minValue="10" maxValue="97"/>
    </cacheField>
    <cacheField name="Curve" numFmtId="0">
      <sharedItems containsSemiMixedTypes="0" containsString="0" containsNumber="1" containsInteger="1" minValue="11" maxValue="93"/>
    </cacheField>
    <cacheField name="FKAccuracy" numFmtId="0">
      <sharedItems containsSemiMixedTypes="0" containsString="0" containsNumber="1" containsInteger="1" minValue="10" maxValue="94"/>
    </cacheField>
    <cacheField name="LongPassing" numFmtId="0">
      <sharedItems containsSemiMixedTypes="0" containsString="0" containsNumber="1" containsInteger="1" minValue="26" maxValue="93"/>
    </cacheField>
    <cacheField name="BallControl" numFmtId="0">
      <sharedItems containsSemiMixedTypes="0" containsString="0" containsNumber="1" containsInteger="1" minValue="16" maxValue="96"/>
    </cacheField>
    <cacheField name="Acceleration" numFmtId="0">
      <sharedItems containsSemiMixedTypes="0" containsString="0" containsNumber="1" containsInteger="1" minValue="38" maxValue="97"/>
    </cacheField>
    <cacheField name="SprintSpeed" numFmtId="0">
      <sharedItems containsSemiMixedTypes="0" containsString="0" containsNumber="1" containsInteger="1" minValue="43" maxValue="96"/>
    </cacheField>
    <cacheField name="Agility" numFmtId="0">
      <sharedItems containsSemiMixedTypes="0" containsString="0" containsNumber="1" containsInteger="1" minValue="37" maxValue="96"/>
    </cacheField>
    <cacheField name="Reactions" numFmtId="0">
      <sharedItems containsSemiMixedTypes="0" containsString="0" containsNumber="1" containsInteger="1" minValue="77" maxValue="96"/>
    </cacheField>
    <cacheField name="Balance" numFmtId="0">
      <sharedItems containsSemiMixedTypes="0" containsString="0" containsNumber="1" containsInteger="1" minValue="35" maxValue="95"/>
    </cacheField>
    <cacheField name="ShotPower" numFmtId="0">
      <sharedItems containsSemiMixedTypes="0" containsString="0" containsNumber="1" containsInteger="1" minValue="15" maxValue="95"/>
    </cacheField>
    <cacheField name="Jumping" numFmtId="0">
      <sharedItems containsSemiMixedTypes="0" containsString="0" containsNumber="1" containsInteger="1" minValue="30" maxValue="95"/>
    </cacheField>
    <cacheField name="Stamina" numFmtId="0">
      <sharedItems containsSemiMixedTypes="0" containsString="0" containsNumber="1" containsInteger="1" minValue="32" maxValue="96"/>
    </cacheField>
    <cacheField name="Strength" numFmtId="0">
      <sharedItems containsSemiMixedTypes="0" containsString="0" containsNumber="1" containsInteger="1" minValue="42" maxValue="94"/>
    </cacheField>
    <cacheField name="LongShots" numFmtId="0">
      <sharedItems containsSemiMixedTypes="0" containsString="0" containsNumber="1" containsInteger="1" minValue="10" maxValue="94"/>
    </cacheField>
    <cacheField name="Aggression" numFmtId="0">
      <sharedItems containsSemiMixedTypes="0" containsString="0" containsNumber="1" containsInteger="1" minValue="23" maxValue="93"/>
    </cacheField>
    <cacheField name="Interceptions" numFmtId="0">
      <sharedItems containsSemiMixedTypes="0" containsString="0" containsNumber="1" containsInteger="1" minValue="11" maxValue="92"/>
    </cacheField>
    <cacheField name="Positioning" numFmtId="0">
      <sharedItems containsSemiMixedTypes="0" containsString="0" containsNumber="1" containsInteger="1" minValue="10" maxValue="95"/>
    </cacheField>
    <cacheField name="Vision" numFmtId="0">
      <sharedItems containsSemiMixedTypes="0" containsString="0" containsNumber="1" containsInteger="1" minValue="22" maxValue="94" count="45">
        <n v="94"/>
        <n v="82"/>
        <n v="87"/>
        <n v="68"/>
        <n v="89"/>
        <n v="92"/>
        <n v="84"/>
        <n v="63"/>
        <n v="70"/>
        <n v="77"/>
        <n v="86"/>
        <n v="52"/>
        <n v="79"/>
        <n v="80"/>
        <n v="83"/>
        <n v="69"/>
        <n v="44"/>
        <n v="50"/>
        <n v="91"/>
        <n v="90"/>
        <n v="30"/>
        <n v="74"/>
        <n v="72"/>
        <n v="41"/>
        <n v="58"/>
        <n v="64"/>
        <n v="43"/>
        <n v="76"/>
        <n v="65"/>
        <n v="62"/>
        <n v="67"/>
        <n v="59"/>
        <n v="85"/>
        <n v="56"/>
        <n v="88"/>
        <n v="47"/>
        <n v="75"/>
        <n v="93"/>
        <n v="57"/>
        <n v="81"/>
        <n v="66"/>
        <n v="22"/>
        <n v="53"/>
        <n v="78"/>
        <n v="48"/>
      </sharedItems>
      <fieldGroup base="30">
        <rangePr startNum="22" endNum="94" groupInterval="5"/>
        <groupItems count="17">
          <s v="&lt;22"/>
          <s v="22-26"/>
          <s v="27-31"/>
          <s v="32-36"/>
          <s v="37-41"/>
          <s v="42-46"/>
          <s v="47-51"/>
          <s v="52-56"/>
          <s v="57-61"/>
          <s v="62-66"/>
          <s v="67-71"/>
          <s v="72-76"/>
          <s v="77-81"/>
          <s v="82-86"/>
          <s v="87-91"/>
          <s v="92-96"/>
          <s v="&gt;97"/>
        </groupItems>
      </fieldGroup>
    </cacheField>
    <cacheField name="Penalties" numFmtId="0">
      <sharedItems containsSemiMixedTypes="0" containsString="0" containsNumber="1" containsInteger="1" minValue="11" maxValue="90"/>
    </cacheField>
    <cacheField name="Composure" numFmtId="0">
      <sharedItems containsSemiMixedTypes="0" containsString="0" containsNumber="1" containsInteger="1" minValue="65" maxValue="96"/>
    </cacheField>
    <cacheField name="Marking" numFmtId="0">
      <sharedItems containsSemiMixedTypes="0" containsString="0" containsNumber="1" containsInteger="1" minValue="13" maxValue="93"/>
    </cacheField>
    <cacheField name="StandingTackle" numFmtId="0">
      <sharedItems containsSemiMixedTypes="0" containsString="0" containsNumber="1" containsInteger="1" minValue="10" maxValue="93"/>
    </cacheField>
    <cacheField name="SlidingTackle" numFmtId="0">
      <sharedItems containsSemiMixedTypes="0" containsString="0" containsNumber="1" containsInteger="1" minValue="8" maxValue="91"/>
    </cacheField>
    <cacheField name="GKDiving" numFmtId="0">
      <sharedItems containsSemiMixedTypes="0" containsString="0" containsNumber="1" containsInteger="1" minValue="2" maxValue="90"/>
    </cacheField>
    <cacheField name="GKHandling" numFmtId="0">
      <sharedItems containsSemiMixedTypes="0" containsString="0" containsNumber="1" containsInteger="1" minValue="2" maxValue="92"/>
    </cacheField>
    <cacheField name="GKKicking" numFmtId="0">
      <sharedItems containsSemiMixedTypes="0" containsString="0" containsNumber="1" containsInteger="1" minValue="2" maxValue="91"/>
    </cacheField>
    <cacheField name="GKPositioning" numFmtId="0">
      <sharedItems containsSemiMixedTypes="0" containsString="0" containsNumber="1" containsInteger="1" minValue="2" maxValue="90"/>
    </cacheField>
    <cacheField name="GKReflexes" numFmtId="0">
      <sharedItems containsSemiMixedTypes="0" containsString="0" containsNumber="1" containsInteger="1" minValue="3" maxValue="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L. Messi"/>
    <n v="31"/>
    <s v="Argentina"/>
    <s v="FC Barcelona"/>
    <x v="0"/>
    <n v="565000"/>
    <s v="RF"/>
    <n v="84"/>
    <n v="95"/>
    <n v="70"/>
    <n v="90"/>
    <n v="86"/>
    <n v="97"/>
    <n v="93"/>
    <n v="94"/>
    <n v="87"/>
    <n v="96"/>
    <n v="91"/>
    <n v="86"/>
    <n v="91"/>
    <n v="95"/>
    <n v="95"/>
    <n v="85"/>
    <n v="68"/>
    <n v="72"/>
    <n v="59"/>
    <n v="94"/>
    <n v="48"/>
    <n v="22"/>
    <n v="94"/>
    <n v="94"/>
    <n v="75"/>
    <n v="96"/>
    <n v="33"/>
    <n v="28"/>
    <n v="26"/>
    <n v="6"/>
    <n v="11"/>
    <n v="15"/>
    <n v="14"/>
    <n v="8"/>
  </r>
  <r>
    <s v="Cristiano Ronaldo"/>
    <n v="33"/>
    <s v="Portugal"/>
    <s v="Juventus"/>
    <x v="1"/>
    <n v="405000"/>
    <s v="ST"/>
    <n v="84"/>
    <n v="94"/>
    <n v="89"/>
    <n v="81"/>
    <n v="87"/>
    <n v="88"/>
    <n v="81"/>
    <n v="76"/>
    <n v="77"/>
    <n v="94"/>
    <n v="89"/>
    <n v="91"/>
    <n v="87"/>
    <n v="96"/>
    <n v="70"/>
    <n v="95"/>
    <n v="95"/>
    <n v="88"/>
    <n v="79"/>
    <n v="93"/>
    <n v="63"/>
    <n v="29"/>
    <n v="95"/>
    <n v="82"/>
    <n v="85"/>
    <n v="95"/>
    <n v="28"/>
    <n v="31"/>
    <n v="23"/>
    <n v="7"/>
    <n v="11"/>
    <n v="15"/>
    <n v="14"/>
    <n v="11"/>
  </r>
  <r>
    <s v="Neymar Jr"/>
    <n v="26"/>
    <s v="Brazil"/>
    <s v="Paris Saint-Germain"/>
    <x v="2"/>
    <n v="290000"/>
    <s v="LW"/>
    <n v="79"/>
    <n v="87"/>
    <n v="62"/>
    <n v="84"/>
    <n v="84"/>
    <n v="96"/>
    <n v="88"/>
    <n v="87"/>
    <n v="78"/>
    <n v="95"/>
    <n v="94"/>
    <n v="90"/>
    <n v="96"/>
    <n v="94"/>
    <n v="84"/>
    <n v="80"/>
    <n v="61"/>
    <n v="81"/>
    <n v="49"/>
    <n v="82"/>
    <n v="56"/>
    <n v="36"/>
    <n v="89"/>
    <n v="87"/>
    <n v="81"/>
    <n v="94"/>
    <n v="27"/>
    <n v="24"/>
    <n v="33"/>
    <n v="9"/>
    <n v="9"/>
    <n v="15"/>
    <n v="15"/>
    <n v="11"/>
  </r>
  <r>
    <s v="De Gea"/>
    <n v="27"/>
    <s v="Spain"/>
    <s v="Manchester United"/>
    <x v="3"/>
    <n v="260000"/>
    <s v="GK"/>
    <n v="17"/>
    <n v="13"/>
    <n v="21"/>
    <n v="50"/>
    <n v="13"/>
    <n v="18"/>
    <n v="21"/>
    <n v="19"/>
    <n v="51"/>
    <n v="42"/>
    <n v="57"/>
    <n v="58"/>
    <n v="60"/>
    <n v="90"/>
    <n v="43"/>
    <n v="31"/>
    <n v="67"/>
    <n v="43"/>
    <n v="64"/>
    <n v="12"/>
    <n v="38"/>
    <n v="30"/>
    <n v="12"/>
    <n v="68"/>
    <n v="40"/>
    <n v="68"/>
    <n v="15"/>
    <n v="21"/>
    <n v="13"/>
    <n v="90"/>
    <n v="85"/>
    <n v="87"/>
    <n v="88"/>
    <n v="94"/>
  </r>
  <r>
    <s v="K. De Bruyne"/>
    <n v="27"/>
    <s v="Belgium"/>
    <s v="Manchester City"/>
    <x v="4"/>
    <n v="355000"/>
    <s v="RCM"/>
    <n v="93"/>
    <n v="82"/>
    <n v="55"/>
    <n v="92"/>
    <n v="82"/>
    <n v="86"/>
    <n v="85"/>
    <n v="83"/>
    <n v="91"/>
    <n v="91"/>
    <n v="78"/>
    <n v="76"/>
    <n v="79"/>
    <n v="91"/>
    <n v="77"/>
    <n v="91"/>
    <n v="63"/>
    <n v="90"/>
    <n v="75"/>
    <n v="91"/>
    <n v="76"/>
    <n v="61"/>
    <n v="87"/>
    <n v="94"/>
    <n v="79"/>
    <n v="88"/>
    <n v="68"/>
    <n v="58"/>
    <n v="51"/>
    <n v="15"/>
    <n v="13"/>
    <n v="5"/>
    <n v="10"/>
    <n v="13"/>
  </r>
  <r>
    <s v="E. Hazard"/>
    <n v="27"/>
    <s v="Belgium"/>
    <s v="Chelsea"/>
    <x v="5"/>
    <n v="340000"/>
    <s v="LF"/>
    <n v="81"/>
    <n v="84"/>
    <n v="61"/>
    <n v="89"/>
    <n v="80"/>
    <n v="95"/>
    <n v="83"/>
    <n v="79"/>
    <n v="83"/>
    <n v="94"/>
    <n v="94"/>
    <n v="88"/>
    <n v="95"/>
    <n v="90"/>
    <n v="94"/>
    <n v="82"/>
    <n v="56"/>
    <n v="83"/>
    <n v="66"/>
    <n v="80"/>
    <n v="54"/>
    <n v="41"/>
    <n v="87"/>
    <n v="89"/>
    <n v="86"/>
    <n v="91"/>
    <n v="34"/>
    <n v="27"/>
    <n v="22"/>
    <n v="11"/>
    <n v="12"/>
    <n v="6"/>
    <n v="8"/>
    <n v="8"/>
  </r>
  <r>
    <s v="L. Modri?"/>
    <n v="32"/>
    <s v="Croatia"/>
    <s v="Real Madrid"/>
    <x v="6"/>
    <n v="420000"/>
    <s v="RCM"/>
    <n v="86"/>
    <n v="72"/>
    <n v="55"/>
    <n v="93"/>
    <n v="76"/>
    <n v="90"/>
    <n v="85"/>
    <n v="78"/>
    <n v="88"/>
    <n v="93"/>
    <n v="80"/>
    <n v="72"/>
    <n v="93"/>
    <n v="90"/>
    <n v="94"/>
    <n v="79"/>
    <n v="68"/>
    <n v="89"/>
    <n v="58"/>
    <n v="82"/>
    <n v="62"/>
    <n v="83"/>
    <n v="79"/>
    <n v="92"/>
    <n v="82"/>
    <n v="84"/>
    <n v="60"/>
    <n v="76"/>
    <n v="73"/>
    <n v="13"/>
    <n v="9"/>
    <n v="7"/>
    <n v="14"/>
    <n v="9"/>
  </r>
  <r>
    <s v="L. Suárez"/>
    <n v="31"/>
    <s v="Uruguay"/>
    <s v="FC Barcelona"/>
    <x v="7"/>
    <n v="455000"/>
    <s v="RS"/>
    <n v="77"/>
    <n v="93"/>
    <n v="77"/>
    <n v="82"/>
    <n v="88"/>
    <n v="87"/>
    <n v="86"/>
    <n v="84"/>
    <n v="64"/>
    <n v="90"/>
    <n v="86"/>
    <n v="75"/>
    <n v="82"/>
    <n v="92"/>
    <n v="83"/>
    <n v="86"/>
    <n v="69"/>
    <n v="90"/>
    <n v="83"/>
    <n v="85"/>
    <n v="87"/>
    <n v="41"/>
    <n v="92"/>
    <n v="84"/>
    <n v="85"/>
    <n v="85"/>
    <n v="62"/>
    <n v="45"/>
    <n v="38"/>
    <n v="27"/>
    <n v="25"/>
    <n v="31"/>
    <n v="33"/>
    <n v="37"/>
  </r>
  <r>
    <s v="Sergio Ramos"/>
    <n v="32"/>
    <s v="Spain"/>
    <s v="Real Madrid"/>
    <x v="8"/>
    <n v="380000"/>
    <s v="RCB"/>
    <n v="66"/>
    <n v="60"/>
    <n v="91"/>
    <n v="78"/>
    <n v="66"/>
    <n v="63"/>
    <n v="74"/>
    <n v="72"/>
    <n v="77"/>
    <n v="84"/>
    <n v="76"/>
    <n v="75"/>
    <n v="78"/>
    <n v="85"/>
    <n v="66"/>
    <n v="79"/>
    <n v="93"/>
    <n v="84"/>
    <n v="83"/>
    <n v="59"/>
    <n v="88"/>
    <n v="90"/>
    <n v="60"/>
    <n v="63"/>
    <n v="75"/>
    <n v="82"/>
    <n v="87"/>
    <n v="92"/>
    <n v="91"/>
    <n v="11"/>
    <n v="8"/>
    <n v="9"/>
    <n v="7"/>
    <n v="11"/>
  </r>
  <r>
    <s v="J. Oblak"/>
    <n v="25"/>
    <s v="Slovenia"/>
    <s v="Atletico Madrid"/>
    <x v="9"/>
    <n v="94000"/>
    <s v="GK"/>
    <n v="13"/>
    <n v="11"/>
    <n v="15"/>
    <n v="29"/>
    <n v="13"/>
    <n v="12"/>
    <n v="13"/>
    <n v="14"/>
    <n v="26"/>
    <n v="16"/>
    <n v="43"/>
    <n v="60"/>
    <n v="67"/>
    <n v="86"/>
    <n v="49"/>
    <n v="22"/>
    <n v="76"/>
    <n v="41"/>
    <n v="78"/>
    <n v="12"/>
    <n v="34"/>
    <n v="19"/>
    <n v="11"/>
    <n v="70"/>
    <n v="11"/>
    <n v="70"/>
    <n v="27"/>
    <n v="12"/>
    <n v="18"/>
    <n v="86"/>
    <n v="92"/>
    <n v="78"/>
    <n v="88"/>
    <n v="89"/>
  </r>
  <r>
    <s v="R. Lewandowski"/>
    <n v="29"/>
    <s v="Poland"/>
    <s v="FC Bayern Munich"/>
    <x v="1"/>
    <n v="205000"/>
    <s v="ST"/>
    <n v="62"/>
    <n v="91"/>
    <n v="85"/>
    <n v="83"/>
    <n v="89"/>
    <n v="85"/>
    <n v="77"/>
    <n v="86"/>
    <n v="65"/>
    <n v="89"/>
    <n v="77"/>
    <n v="78"/>
    <n v="78"/>
    <n v="90"/>
    <n v="78"/>
    <n v="88"/>
    <n v="84"/>
    <n v="78"/>
    <n v="84"/>
    <n v="84"/>
    <n v="80"/>
    <n v="39"/>
    <n v="91"/>
    <n v="77"/>
    <n v="88"/>
    <n v="86"/>
    <n v="34"/>
    <n v="42"/>
    <n v="19"/>
    <n v="15"/>
    <n v="6"/>
    <n v="12"/>
    <n v="8"/>
    <n v="10"/>
  </r>
  <r>
    <s v="T. Kroos"/>
    <n v="28"/>
    <s v="Germany"/>
    <s v="Real Madrid"/>
    <x v="10"/>
    <n v="355000"/>
    <s v="LCM"/>
    <n v="88"/>
    <n v="76"/>
    <n v="54"/>
    <n v="92"/>
    <n v="82"/>
    <n v="81"/>
    <n v="86"/>
    <n v="84"/>
    <n v="93"/>
    <n v="90"/>
    <n v="64"/>
    <n v="62"/>
    <n v="70"/>
    <n v="89"/>
    <n v="71"/>
    <n v="87"/>
    <n v="30"/>
    <n v="75"/>
    <n v="73"/>
    <n v="92"/>
    <n v="60"/>
    <n v="82"/>
    <n v="79"/>
    <n v="86"/>
    <n v="73"/>
    <n v="85"/>
    <n v="72"/>
    <n v="79"/>
    <n v="69"/>
    <n v="10"/>
    <n v="11"/>
    <n v="13"/>
    <n v="7"/>
    <n v="10"/>
  </r>
  <r>
    <s v="D. Godín"/>
    <n v="32"/>
    <s v="Uruguay"/>
    <s v="Atletico Madrid"/>
    <x v="11"/>
    <n v="125000"/>
    <s v="CB"/>
    <n v="55"/>
    <n v="42"/>
    <n v="92"/>
    <n v="79"/>
    <n v="47"/>
    <n v="53"/>
    <n v="49"/>
    <n v="51"/>
    <n v="70"/>
    <n v="76"/>
    <n v="68"/>
    <n v="68"/>
    <n v="58"/>
    <n v="85"/>
    <n v="54"/>
    <n v="67"/>
    <n v="91"/>
    <n v="66"/>
    <n v="88"/>
    <n v="43"/>
    <n v="89"/>
    <n v="88"/>
    <n v="48"/>
    <n v="52"/>
    <n v="50"/>
    <n v="82"/>
    <n v="90"/>
    <n v="89"/>
    <n v="89"/>
    <n v="6"/>
    <n v="8"/>
    <n v="15"/>
    <n v="5"/>
    <n v="15"/>
  </r>
  <r>
    <s v="David Silva"/>
    <n v="32"/>
    <s v="Spain"/>
    <s v="Manchester City"/>
    <x v="12"/>
    <n v="285000"/>
    <s v="LCM"/>
    <n v="84"/>
    <n v="76"/>
    <n v="54"/>
    <n v="93"/>
    <n v="82"/>
    <n v="89"/>
    <n v="82"/>
    <n v="77"/>
    <n v="87"/>
    <n v="94"/>
    <n v="70"/>
    <n v="64"/>
    <n v="92"/>
    <n v="90"/>
    <n v="90"/>
    <n v="72"/>
    <n v="64"/>
    <n v="78"/>
    <n v="52"/>
    <n v="75"/>
    <n v="57"/>
    <n v="50"/>
    <n v="89"/>
    <n v="92"/>
    <n v="75"/>
    <n v="93"/>
    <n v="59"/>
    <n v="53"/>
    <n v="29"/>
    <n v="6"/>
    <n v="15"/>
    <n v="7"/>
    <n v="6"/>
    <n v="12"/>
  </r>
  <r>
    <s v="N.Kanté"/>
    <n v="27"/>
    <s v="France"/>
    <s v="Chelsea"/>
    <x v="13"/>
    <n v="225000"/>
    <s v="LDM"/>
    <n v="68"/>
    <n v="65"/>
    <n v="54"/>
    <n v="86"/>
    <n v="56"/>
    <n v="79"/>
    <n v="49"/>
    <n v="49"/>
    <n v="81"/>
    <n v="80"/>
    <n v="82"/>
    <n v="78"/>
    <n v="82"/>
    <n v="93"/>
    <n v="92"/>
    <n v="71"/>
    <n v="77"/>
    <n v="96"/>
    <n v="76"/>
    <n v="69"/>
    <n v="90"/>
    <n v="92"/>
    <n v="71"/>
    <n v="79"/>
    <n v="54"/>
    <n v="85"/>
    <n v="90"/>
    <n v="91"/>
    <n v="85"/>
    <n v="15"/>
    <n v="12"/>
    <n v="10"/>
    <n v="7"/>
    <n v="10"/>
  </r>
  <r>
    <s v="P. Dybala"/>
    <n v="24"/>
    <s v="Argentina"/>
    <s v="Juventus"/>
    <x v="14"/>
    <n v="205000"/>
    <s v="LF"/>
    <n v="82"/>
    <n v="84"/>
    <n v="68"/>
    <n v="87"/>
    <n v="88"/>
    <n v="92"/>
    <n v="88"/>
    <n v="88"/>
    <n v="75"/>
    <n v="92"/>
    <n v="87"/>
    <n v="83"/>
    <n v="91"/>
    <n v="86"/>
    <n v="85"/>
    <n v="82"/>
    <n v="75"/>
    <n v="80"/>
    <n v="65"/>
    <n v="88"/>
    <n v="48"/>
    <n v="32"/>
    <n v="84"/>
    <n v="87"/>
    <n v="86"/>
    <n v="84"/>
    <n v="23"/>
    <n v="20"/>
    <n v="20"/>
    <n v="5"/>
    <n v="4"/>
    <n v="4"/>
    <n v="5"/>
    <n v="8"/>
  </r>
  <r>
    <s v="H. Kane"/>
    <n v="24"/>
    <s v="England"/>
    <s v="Tottenham Hotspur"/>
    <x v="15"/>
    <n v="205000"/>
    <s v="ST"/>
    <n v="75"/>
    <n v="94"/>
    <n v="85"/>
    <n v="80"/>
    <n v="84"/>
    <n v="80"/>
    <n v="78"/>
    <n v="68"/>
    <n v="82"/>
    <n v="84"/>
    <n v="68"/>
    <n v="72"/>
    <n v="71"/>
    <n v="91"/>
    <n v="71"/>
    <n v="88"/>
    <n v="78"/>
    <n v="89"/>
    <n v="84"/>
    <n v="85"/>
    <n v="76"/>
    <n v="35"/>
    <n v="93"/>
    <n v="80"/>
    <n v="90"/>
    <n v="89"/>
    <n v="56"/>
    <n v="36"/>
    <n v="38"/>
    <n v="8"/>
    <n v="10"/>
    <n v="11"/>
    <n v="14"/>
    <n v="11"/>
  </r>
  <r>
    <s v="A. Griezmann"/>
    <n v="27"/>
    <s v="France"/>
    <s v="Atletico Madrid"/>
    <x v="16"/>
    <n v="145000"/>
    <s v="CAM"/>
    <n v="82"/>
    <n v="90"/>
    <n v="84"/>
    <n v="83"/>
    <n v="87"/>
    <n v="88"/>
    <n v="84"/>
    <n v="78"/>
    <n v="76"/>
    <n v="90"/>
    <n v="88"/>
    <n v="85"/>
    <n v="90"/>
    <n v="90"/>
    <n v="80"/>
    <n v="80"/>
    <n v="90"/>
    <n v="83"/>
    <n v="62"/>
    <n v="82"/>
    <n v="69"/>
    <n v="35"/>
    <n v="91"/>
    <n v="83"/>
    <n v="79"/>
    <n v="87"/>
    <n v="59"/>
    <n v="47"/>
    <n v="48"/>
    <n v="14"/>
    <n v="8"/>
    <n v="14"/>
    <n v="13"/>
    <n v="14"/>
  </r>
  <r>
    <s v="M. ter Stegen"/>
    <n v="26"/>
    <s v="Germany"/>
    <s v="FC Barcelona"/>
    <x v="17"/>
    <n v="240000"/>
    <s v="GK"/>
    <n v="15"/>
    <n v="14"/>
    <n v="11"/>
    <n v="36"/>
    <n v="14"/>
    <n v="17"/>
    <n v="18"/>
    <n v="12"/>
    <n v="42"/>
    <n v="18"/>
    <n v="38"/>
    <n v="50"/>
    <n v="37"/>
    <n v="85"/>
    <n v="43"/>
    <n v="22"/>
    <n v="79"/>
    <n v="35"/>
    <n v="79"/>
    <n v="10"/>
    <n v="43"/>
    <n v="22"/>
    <n v="11"/>
    <n v="69"/>
    <n v="25"/>
    <n v="69"/>
    <n v="25"/>
    <n v="13"/>
    <n v="10"/>
    <n v="87"/>
    <n v="85"/>
    <n v="88"/>
    <n v="85"/>
    <n v="90"/>
  </r>
  <r>
    <s v="T. Courtois"/>
    <n v="26"/>
    <s v="Belgium"/>
    <s v="Real Madrid"/>
    <x v="18"/>
    <n v="240000"/>
    <s v="GK"/>
    <n v="14"/>
    <n v="14"/>
    <n v="13"/>
    <n v="33"/>
    <n v="12"/>
    <n v="13"/>
    <n v="19"/>
    <n v="20"/>
    <n v="35"/>
    <n v="23"/>
    <n v="46"/>
    <n v="52"/>
    <n v="61"/>
    <n v="84"/>
    <n v="45"/>
    <n v="36"/>
    <n v="68"/>
    <n v="38"/>
    <n v="70"/>
    <n v="17"/>
    <n v="23"/>
    <n v="15"/>
    <n v="13"/>
    <n v="44"/>
    <n v="27"/>
    <n v="66"/>
    <n v="20"/>
    <n v="18"/>
    <n v="16"/>
    <n v="85"/>
    <n v="91"/>
    <n v="72"/>
    <n v="86"/>
    <n v="88"/>
  </r>
  <r>
    <s v="Sergio Busquets"/>
    <n v="29"/>
    <s v="Spain"/>
    <s v="FC Barcelona"/>
    <x v="19"/>
    <n v="315000"/>
    <s v="CDM"/>
    <n v="62"/>
    <n v="67"/>
    <n v="68"/>
    <n v="89"/>
    <n v="44"/>
    <n v="80"/>
    <n v="66"/>
    <n v="68"/>
    <n v="82"/>
    <n v="88"/>
    <n v="50"/>
    <n v="52"/>
    <n v="66"/>
    <n v="87"/>
    <n v="52"/>
    <n v="61"/>
    <n v="66"/>
    <n v="86"/>
    <n v="77"/>
    <n v="54"/>
    <n v="85"/>
    <n v="87"/>
    <n v="77"/>
    <n v="87"/>
    <n v="60"/>
    <n v="90"/>
    <n v="90"/>
    <n v="86"/>
    <n v="80"/>
    <n v="5"/>
    <n v="8"/>
    <n v="13"/>
    <n v="9"/>
    <n v="13"/>
  </r>
  <r>
    <s v="E. Cavani"/>
    <n v="31"/>
    <s v="Uruguay"/>
    <s v="Paris Saint-Germain"/>
    <x v="12"/>
    <n v="200000"/>
    <s v="LS"/>
    <n v="70"/>
    <n v="89"/>
    <n v="89"/>
    <n v="78"/>
    <n v="90"/>
    <n v="80"/>
    <n v="77"/>
    <n v="76"/>
    <n v="52"/>
    <n v="82"/>
    <n v="75"/>
    <n v="76"/>
    <n v="77"/>
    <n v="91"/>
    <n v="59"/>
    <n v="87"/>
    <n v="88"/>
    <n v="92"/>
    <n v="78"/>
    <n v="79"/>
    <n v="84"/>
    <n v="48"/>
    <n v="93"/>
    <n v="77"/>
    <n v="85"/>
    <n v="82"/>
    <n v="52"/>
    <n v="45"/>
    <n v="39"/>
    <n v="12"/>
    <n v="5"/>
    <n v="13"/>
    <n v="13"/>
    <n v="10"/>
  </r>
  <r>
    <s v="M. Neuer"/>
    <n v="32"/>
    <s v="Germany"/>
    <s v="FC Bayern Munich"/>
    <x v="20"/>
    <n v="130000"/>
    <s v="GK"/>
    <n v="15"/>
    <n v="13"/>
    <n v="25"/>
    <n v="55"/>
    <n v="11"/>
    <n v="30"/>
    <n v="14"/>
    <n v="11"/>
    <n v="59"/>
    <n v="48"/>
    <n v="54"/>
    <n v="60"/>
    <n v="51"/>
    <n v="84"/>
    <n v="35"/>
    <n v="25"/>
    <n v="77"/>
    <n v="43"/>
    <n v="80"/>
    <n v="16"/>
    <n v="29"/>
    <n v="30"/>
    <n v="12"/>
    <n v="70"/>
    <n v="47"/>
    <n v="70"/>
    <n v="17"/>
    <n v="10"/>
    <n v="11"/>
    <n v="90"/>
    <n v="86"/>
    <n v="91"/>
    <n v="87"/>
    <n v="87"/>
  </r>
  <r>
    <s v="S. Agüero"/>
    <n v="30"/>
    <s v="Argentina"/>
    <s v="Manchester City"/>
    <x v="21"/>
    <n v="300000"/>
    <s v="ST"/>
    <n v="70"/>
    <n v="93"/>
    <n v="77"/>
    <n v="81"/>
    <n v="85"/>
    <n v="89"/>
    <n v="82"/>
    <n v="73"/>
    <n v="64"/>
    <n v="89"/>
    <n v="88"/>
    <n v="80"/>
    <n v="86"/>
    <n v="90"/>
    <n v="91"/>
    <n v="88"/>
    <n v="81"/>
    <n v="76"/>
    <n v="73"/>
    <n v="83"/>
    <n v="65"/>
    <n v="24"/>
    <n v="92"/>
    <n v="83"/>
    <n v="83"/>
    <n v="90"/>
    <n v="30"/>
    <n v="20"/>
    <n v="12"/>
    <n v="13"/>
    <n v="15"/>
    <n v="6"/>
    <n v="11"/>
    <n v="14"/>
  </r>
  <r>
    <s v="G. Chiellini"/>
    <n v="33"/>
    <s v="Italy"/>
    <s v="Juventus"/>
    <x v="22"/>
    <n v="215000"/>
    <s v="LCB"/>
    <n v="58"/>
    <n v="33"/>
    <n v="83"/>
    <n v="59"/>
    <n v="45"/>
    <n v="58"/>
    <n v="60"/>
    <n v="31"/>
    <n v="59"/>
    <n v="57"/>
    <n v="63"/>
    <n v="75"/>
    <n v="54"/>
    <n v="82"/>
    <n v="55"/>
    <n v="78"/>
    <n v="89"/>
    <n v="65"/>
    <n v="89"/>
    <n v="49"/>
    <n v="92"/>
    <n v="88"/>
    <n v="28"/>
    <n v="50"/>
    <n v="50"/>
    <n v="84"/>
    <n v="93"/>
    <n v="93"/>
    <n v="90"/>
    <n v="3"/>
    <n v="3"/>
    <n v="2"/>
    <n v="4"/>
    <n v="3"/>
  </r>
  <r>
    <s v="K. Mbappé"/>
    <n v="19"/>
    <s v="France"/>
    <s v="Paris Saint-Germain"/>
    <x v="23"/>
    <n v="100000"/>
    <s v="RM"/>
    <n v="77"/>
    <n v="88"/>
    <n v="77"/>
    <n v="82"/>
    <n v="78"/>
    <n v="90"/>
    <n v="77"/>
    <n v="63"/>
    <n v="73"/>
    <n v="91"/>
    <n v="96"/>
    <n v="96"/>
    <n v="92"/>
    <n v="87"/>
    <n v="83"/>
    <n v="79"/>
    <n v="75"/>
    <n v="83"/>
    <n v="71"/>
    <n v="78"/>
    <n v="62"/>
    <n v="38"/>
    <n v="88"/>
    <n v="82"/>
    <n v="70"/>
    <n v="86"/>
    <n v="34"/>
    <n v="34"/>
    <n v="32"/>
    <n v="13"/>
    <n v="5"/>
    <n v="7"/>
    <n v="11"/>
    <n v="6"/>
  </r>
  <r>
    <s v="M. Salah"/>
    <n v="26"/>
    <s v="Egypt"/>
    <s v="Liverpool"/>
    <x v="24"/>
    <n v="255000"/>
    <s v="RM"/>
    <n v="78"/>
    <n v="90"/>
    <n v="59"/>
    <n v="82"/>
    <n v="73"/>
    <n v="89"/>
    <n v="83"/>
    <n v="60"/>
    <n v="72"/>
    <n v="88"/>
    <n v="94"/>
    <n v="91"/>
    <n v="91"/>
    <n v="91"/>
    <n v="88"/>
    <n v="77"/>
    <n v="68"/>
    <n v="84"/>
    <n v="70"/>
    <n v="83"/>
    <n v="63"/>
    <n v="55"/>
    <n v="90"/>
    <n v="82"/>
    <n v="61"/>
    <n v="91"/>
    <n v="38"/>
    <n v="43"/>
    <n v="41"/>
    <n v="14"/>
    <n v="14"/>
    <n v="9"/>
    <n v="11"/>
    <n v="14"/>
  </r>
  <r>
    <s v="Casemiro"/>
    <n v="26"/>
    <s v="Brazil"/>
    <s v="Real Madrid"/>
    <x v="25"/>
    <n v="285000"/>
    <s v="CDM"/>
    <n v="52"/>
    <n v="59"/>
    <n v="76"/>
    <n v="85"/>
    <n v="53"/>
    <n v="69"/>
    <n v="59"/>
    <n v="74"/>
    <n v="82"/>
    <n v="78"/>
    <n v="59"/>
    <n v="65"/>
    <n v="62"/>
    <n v="84"/>
    <n v="66"/>
    <n v="86"/>
    <n v="88"/>
    <n v="87"/>
    <n v="89"/>
    <n v="79"/>
    <n v="87"/>
    <n v="87"/>
    <n v="69"/>
    <n v="77"/>
    <n v="66"/>
    <n v="84"/>
    <n v="88"/>
    <n v="90"/>
    <n v="87"/>
    <n v="13"/>
    <n v="14"/>
    <n v="16"/>
    <n v="12"/>
    <n v="12"/>
  </r>
  <r>
    <s v="J. Rodríguez"/>
    <n v="26"/>
    <s v="Colombia"/>
    <s v="FC Bayern Munich"/>
    <x v="24"/>
    <n v="315000"/>
    <s v="LAM"/>
    <n v="90"/>
    <n v="83"/>
    <n v="62"/>
    <n v="89"/>
    <n v="90"/>
    <n v="85"/>
    <n v="89"/>
    <n v="86"/>
    <n v="83"/>
    <n v="90"/>
    <n v="73"/>
    <n v="67"/>
    <n v="83"/>
    <n v="85"/>
    <n v="76"/>
    <n v="86"/>
    <n v="54"/>
    <n v="70"/>
    <n v="68"/>
    <n v="92"/>
    <n v="64"/>
    <n v="55"/>
    <n v="80"/>
    <n v="89"/>
    <n v="81"/>
    <n v="87"/>
    <n v="52"/>
    <n v="41"/>
    <n v="44"/>
    <n v="15"/>
    <n v="15"/>
    <n v="15"/>
    <n v="5"/>
    <n v="14"/>
  </r>
  <r>
    <s v="L. Insigne"/>
    <n v="27"/>
    <s v="Italy"/>
    <s v="Napoli"/>
    <x v="26"/>
    <n v="165000"/>
    <s v="LW"/>
    <n v="86"/>
    <n v="77"/>
    <n v="56"/>
    <n v="85"/>
    <n v="74"/>
    <n v="90"/>
    <n v="87"/>
    <n v="77"/>
    <n v="78"/>
    <n v="93"/>
    <n v="94"/>
    <n v="86"/>
    <n v="94"/>
    <n v="83"/>
    <n v="93"/>
    <n v="75"/>
    <n v="53"/>
    <n v="75"/>
    <n v="44"/>
    <n v="84"/>
    <n v="34"/>
    <n v="26"/>
    <n v="83"/>
    <n v="87"/>
    <n v="61"/>
    <n v="83"/>
    <n v="51"/>
    <n v="24"/>
    <n v="22"/>
    <n v="8"/>
    <n v="4"/>
    <n v="14"/>
    <n v="9"/>
    <n v="10"/>
  </r>
  <r>
    <s v="Isco"/>
    <n v="26"/>
    <s v="Spain"/>
    <s v="Real Madrid"/>
    <x v="27"/>
    <n v="315000"/>
    <s v="LW"/>
    <n v="75"/>
    <n v="79"/>
    <n v="55"/>
    <n v="89"/>
    <n v="65"/>
    <n v="94"/>
    <n v="88"/>
    <n v="76"/>
    <n v="83"/>
    <n v="95"/>
    <n v="75"/>
    <n v="69"/>
    <n v="87"/>
    <n v="77"/>
    <n v="90"/>
    <n v="69"/>
    <n v="64"/>
    <n v="70"/>
    <n v="59"/>
    <n v="87"/>
    <n v="58"/>
    <n v="64"/>
    <n v="78"/>
    <n v="89"/>
    <n v="76"/>
    <n v="86"/>
    <n v="60"/>
    <n v="64"/>
    <n v="51"/>
    <n v="10"/>
    <n v="8"/>
    <n v="12"/>
    <n v="15"/>
    <n v="6"/>
  </r>
  <r>
    <s v="C. Eriksen"/>
    <n v="26"/>
    <s v="Denmark"/>
    <s v="Tottenham Hotspur"/>
    <x v="27"/>
    <n v="205000"/>
    <s v="CAM"/>
    <n v="88"/>
    <n v="80"/>
    <n v="52"/>
    <n v="91"/>
    <n v="77"/>
    <n v="84"/>
    <n v="86"/>
    <n v="87"/>
    <n v="88"/>
    <n v="91"/>
    <n v="75"/>
    <n v="73"/>
    <n v="79"/>
    <n v="88"/>
    <n v="81"/>
    <n v="84"/>
    <n v="50"/>
    <n v="92"/>
    <n v="58"/>
    <n v="89"/>
    <n v="46"/>
    <n v="56"/>
    <n v="83"/>
    <n v="91"/>
    <n v="67"/>
    <n v="88"/>
    <n v="59"/>
    <n v="57"/>
    <n v="22"/>
    <n v="9"/>
    <n v="14"/>
    <n v="7"/>
    <n v="7"/>
    <n v="6"/>
  </r>
  <r>
    <s v="Coutinho"/>
    <n v="26"/>
    <s v="Brazil"/>
    <s v="FC Barcelona"/>
    <x v="24"/>
    <n v="340000"/>
    <s v="LW"/>
    <n v="79"/>
    <n v="79"/>
    <n v="48"/>
    <n v="88"/>
    <n v="75"/>
    <n v="91"/>
    <n v="91"/>
    <n v="86"/>
    <n v="83"/>
    <n v="92"/>
    <n v="89"/>
    <n v="75"/>
    <n v="92"/>
    <n v="83"/>
    <n v="93"/>
    <n v="83"/>
    <n v="59"/>
    <n v="79"/>
    <n v="61"/>
    <n v="93"/>
    <n v="59"/>
    <n v="49"/>
    <n v="84"/>
    <n v="90"/>
    <n v="70"/>
    <n v="85"/>
    <n v="55"/>
    <n v="54"/>
    <n v="47"/>
    <n v="12"/>
    <n v="7"/>
    <n v="9"/>
    <n v="14"/>
    <n v="6"/>
  </r>
  <r>
    <s v="P. Aubameyang"/>
    <n v="29"/>
    <s v="Gabon"/>
    <s v="Arsenal"/>
    <x v="28"/>
    <n v="265000"/>
    <s v="LM"/>
    <n v="77"/>
    <n v="88"/>
    <n v="79"/>
    <n v="77"/>
    <n v="86"/>
    <n v="79"/>
    <n v="80"/>
    <n v="74"/>
    <n v="64"/>
    <n v="82"/>
    <n v="93"/>
    <n v="95"/>
    <n v="76"/>
    <n v="87"/>
    <n v="70"/>
    <n v="82"/>
    <n v="79"/>
    <n v="76"/>
    <n v="76"/>
    <n v="79"/>
    <n v="43"/>
    <n v="48"/>
    <n v="90"/>
    <n v="77"/>
    <n v="76"/>
    <n v="86"/>
    <n v="27"/>
    <n v="25"/>
    <n v="36"/>
    <n v="6"/>
    <n v="9"/>
    <n v="15"/>
    <n v="9"/>
    <n v="9"/>
  </r>
  <r>
    <s v="M. Hummels"/>
    <n v="29"/>
    <s v="Germany"/>
    <s v="FC Bayern Munich"/>
    <x v="29"/>
    <n v="160000"/>
    <s v="LCB"/>
    <n v="64"/>
    <n v="55"/>
    <n v="87"/>
    <n v="81"/>
    <n v="60"/>
    <n v="68"/>
    <n v="65"/>
    <n v="53"/>
    <n v="85"/>
    <n v="81"/>
    <n v="53"/>
    <n v="64"/>
    <n v="63"/>
    <n v="87"/>
    <n v="60"/>
    <n v="71"/>
    <n v="68"/>
    <n v="66"/>
    <n v="84"/>
    <n v="51"/>
    <n v="69"/>
    <n v="92"/>
    <n v="56"/>
    <n v="79"/>
    <n v="68"/>
    <n v="91"/>
    <n v="88"/>
    <n v="90"/>
    <n v="88"/>
    <n v="15"/>
    <n v="6"/>
    <n v="10"/>
    <n v="5"/>
    <n v="6"/>
  </r>
  <r>
    <s v="Marcelo"/>
    <n v="30"/>
    <s v="Brazil"/>
    <s v="Real Madrid"/>
    <x v="30"/>
    <n v="285000"/>
    <s v="LB"/>
    <n v="90"/>
    <n v="70"/>
    <n v="75"/>
    <n v="84"/>
    <n v="54"/>
    <n v="90"/>
    <n v="85"/>
    <n v="67"/>
    <n v="76"/>
    <n v="92"/>
    <n v="83"/>
    <n v="82"/>
    <n v="86"/>
    <n v="88"/>
    <n v="86"/>
    <n v="83"/>
    <n v="76"/>
    <n v="91"/>
    <n v="78"/>
    <n v="70"/>
    <n v="84"/>
    <n v="85"/>
    <n v="85"/>
    <n v="82"/>
    <n v="59"/>
    <n v="86"/>
    <n v="71"/>
    <n v="85"/>
    <n v="86"/>
    <n v="12"/>
    <n v="5"/>
    <n v="5"/>
    <n v="5"/>
    <n v="9"/>
  </r>
  <r>
    <s v="G. Bale"/>
    <n v="28"/>
    <s v="Wales"/>
    <s v="Real Madrid"/>
    <x v="12"/>
    <n v="355000"/>
    <s v="ST"/>
    <n v="87"/>
    <n v="86"/>
    <n v="84"/>
    <n v="85"/>
    <n v="85"/>
    <n v="87"/>
    <n v="90"/>
    <n v="87"/>
    <n v="80"/>
    <n v="85"/>
    <n v="94"/>
    <n v="95"/>
    <n v="82"/>
    <n v="85"/>
    <n v="65"/>
    <n v="92"/>
    <n v="87"/>
    <n v="75"/>
    <n v="80"/>
    <n v="91"/>
    <n v="65"/>
    <n v="59"/>
    <n v="85"/>
    <n v="79"/>
    <n v="76"/>
    <n v="86"/>
    <n v="54"/>
    <n v="55"/>
    <n v="52"/>
    <n v="15"/>
    <n v="15"/>
    <n v="11"/>
    <n v="5"/>
    <n v="6"/>
  </r>
  <r>
    <s v="H. Lloris"/>
    <n v="31"/>
    <s v="France"/>
    <s v="Tottenham Hotspur"/>
    <x v="31"/>
    <n v="150000"/>
    <s v="GK"/>
    <n v="13"/>
    <n v="10"/>
    <n v="10"/>
    <n v="50"/>
    <n v="11"/>
    <n v="10"/>
    <n v="11"/>
    <n v="10"/>
    <n v="50"/>
    <n v="34"/>
    <n v="65"/>
    <n v="62"/>
    <n v="55"/>
    <n v="85"/>
    <n v="54"/>
    <n v="23"/>
    <n v="74"/>
    <n v="41"/>
    <n v="43"/>
    <n v="14"/>
    <n v="31"/>
    <n v="27"/>
    <n v="10"/>
    <n v="30"/>
    <n v="40"/>
    <n v="65"/>
    <n v="29"/>
    <n v="10"/>
    <n v="18"/>
    <n v="88"/>
    <n v="84"/>
    <n v="68"/>
    <n v="83"/>
    <n v="92"/>
  </r>
  <r>
    <s v="G. Higuaín"/>
    <n v="30"/>
    <s v="Argentina"/>
    <s v="Milan"/>
    <x v="32"/>
    <n v="245000"/>
    <s v="LS"/>
    <n v="68"/>
    <n v="92"/>
    <n v="80"/>
    <n v="75"/>
    <n v="90"/>
    <n v="84"/>
    <n v="74"/>
    <n v="62"/>
    <n v="59"/>
    <n v="85"/>
    <n v="73"/>
    <n v="73"/>
    <n v="75"/>
    <n v="86"/>
    <n v="69"/>
    <n v="86"/>
    <n v="79"/>
    <n v="70"/>
    <n v="85"/>
    <n v="80"/>
    <n v="50"/>
    <n v="20"/>
    <n v="92"/>
    <n v="74"/>
    <n v="70"/>
    <n v="86"/>
    <n v="35"/>
    <n v="22"/>
    <n v="18"/>
    <n v="5"/>
    <n v="12"/>
    <n v="7"/>
    <n v="5"/>
    <n v="10"/>
  </r>
  <r>
    <s v="Thiago Silva"/>
    <n v="33"/>
    <s v="Brazil"/>
    <s v="Paris Saint-Germain"/>
    <x v="33"/>
    <n v="165000"/>
    <s v="RCB"/>
    <n v="60"/>
    <n v="38"/>
    <n v="81"/>
    <n v="80"/>
    <n v="63"/>
    <n v="62"/>
    <n v="61"/>
    <n v="64"/>
    <n v="80"/>
    <n v="80"/>
    <n v="70"/>
    <n v="72"/>
    <n v="68"/>
    <n v="82"/>
    <n v="68"/>
    <n v="71"/>
    <n v="90"/>
    <n v="74"/>
    <n v="82"/>
    <n v="68"/>
    <n v="76"/>
    <n v="89"/>
    <n v="59"/>
    <n v="72"/>
    <n v="60"/>
    <n v="81"/>
    <n v="88"/>
    <n v="89"/>
    <n v="85"/>
    <n v="9"/>
    <n v="12"/>
    <n v="5"/>
    <n v="9"/>
    <n v="10"/>
  </r>
  <r>
    <s v="S. HandanoviÄ"/>
    <n v="33"/>
    <s v="Slovenia"/>
    <s v="Inter"/>
    <x v="34"/>
    <n v="110000"/>
    <s v="GK"/>
    <n v="12"/>
    <n v="10"/>
    <n v="10"/>
    <n v="36"/>
    <n v="12"/>
    <n v="12"/>
    <n v="12"/>
    <n v="14"/>
    <n v="34"/>
    <n v="16"/>
    <n v="51"/>
    <n v="55"/>
    <n v="47"/>
    <n v="83"/>
    <n v="36"/>
    <n v="22"/>
    <n v="78"/>
    <n v="41"/>
    <n v="71"/>
    <n v="19"/>
    <n v="25"/>
    <n v="22"/>
    <n v="12"/>
    <n v="41"/>
    <n v="23"/>
    <n v="69"/>
    <n v="25"/>
    <n v="10"/>
    <n v="13"/>
    <n v="87"/>
    <n v="86"/>
    <n v="69"/>
    <n v="89"/>
    <n v="89"/>
  </r>
  <r>
    <s v="G. Buffon"/>
    <n v="40"/>
    <s v="Italy"/>
    <s v="Paris Saint-Germain"/>
    <x v="35"/>
    <n v="77000"/>
    <s v="GK"/>
    <n v="13"/>
    <n v="15"/>
    <n v="13"/>
    <n v="37"/>
    <n v="17"/>
    <n v="26"/>
    <n v="20"/>
    <n v="13"/>
    <n v="35"/>
    <n v="28"/>
    <n v="49"/>
    <n v="43"/>
    <n v="55"/>
    <n v="79"/>
    <n v="49"/>
    <n v="39"/>
    <n v="75"/>
    <n v="39"/>
    <n v="69"/>
    <n v="13"/>
    <n v="38"/>
    <n v="28"/>
    <n v="12"/>
    <n v="50"/>
    <n v="22"/>
    <n v="70"/>
    <n v="13"/>
    <n v="11"/>
    <n v="11"/>
    <n v="88"/>
    <n v="87"/>
    <n v="74"/>
    <n v="90"/>
    <n v="83"/>
  </r>
  <r>
    <s v="S. Umtiti"/>
    <n v="24"/>
    <s v="France"/>
    <s v="FC Barcelona"/>
    <x v="32"/>
    <n v="205000"/>
    <s v="CB"/>
    <n v="69"/>
    <n v="51"/>
    <n v="79"/>
    <n v="81"/>
    <n v="70"/>
    <n v="69"/>
    <n v="72"/>
    <n v="62"/>
    <n v="73"/>
    <n v="77"/>
    <n v="71"/>
    <n v="73"/>
    <n v="68"/>
    <n v="82"/>
    <n v="66"/>
    <n v="83"/>
    <n v="89"/>
    <n v="78"/>
    <n v="84"/>
    <n v="74"/>
    <n v="81"/>
    <n v="87"/>
    <n v="58"/>
    <n v="58"/>
    <n v="61"/>
    <n v="82"/>
    <n v="90"/>
    <n v="89"/>
    <n v="86"/>
    <n v="15"/>
    <n v="10"/>
    <n v="14"/>
    <n v="12"/>
    <n v="15"/>
  </r>
  <r>
    <s v="M. Icardi"/>
    <n v="25"/>
    <s v="Argentina"/>
    <s v="Inter"/>
    <x v="21"/>
    <n v="130000"/>
    <s v="ST"/>
    <n v="46"/>
    <n v="91"/>
    <n v="91"/>
    <n v="73"/>
    <n v="85"/>
    <n v="77"/>
    <n v="58"/>
    <n v="45"/>
    <n v="54"/>
    <n v="81"/>
    <n v="77"/>
    <n v="78"/>
    <n v="76"/>
    <n v="88"/>
    <n v="76"/>
    <n v="84"/>
    <n v="94"/>
    <n v="72"/>
    <n v="76"/>
    <n v="70"/>
    <n v="56"/>
    <n v="22"/>
    <n v="92"/>
    <n v="64"/>
    <n v="82"/>
    <n v="85"/>
    <n v="45"/>
    <n v="24"/>
    <n v="20"/>
    <n v="13"/>
    <n v="9"/>
    <n v="5"/>
    <n v="7"/>
    <n v="9"/>
  </r>
  <r>
    <s v="K. Koulibaly"/>
    <n v="27"/>
    <s v="Senegal"/>
    <s v="Napoli"/>
    <x v="8"/>
    <n v="115000"/>
    <s v="LCB"/>
    <n v="30"/>
    <n v="19"/>
    <n v="81"/>
    <n v="66"/>
    <n v="14"/>
    <n v="66"/>
    <n v="28"/>
    <n v="28"/>
    <n v="56"/>
    <n v="60"/>
    <n v="68"/>
    <n v="75"/>
    <n v="50"/>
    <n v="80"/>
    <n v="40"/>
    <n v="55"/>
    <n v="81"/>
    <n v="71"/>
    <n v="94"/>
    <n v="15"/>
    <n v="87"/>
    <n v="88"/>
    <n v="24"/>
    <n v="43"/>
    <n v="33"/>
    <n v="78"/>
    <n v="91"/>
    <n v="88"/>
    <n v="86"/>
    <n v="7"/>
    <n v="11"/>
    <n v="7"/>
    <n v="13"/>
    <n v="5"/>
  </r>
  <r>
    <s v="P. Pogba"/>
    <n v="25"/>
    <s v="France"/>
    <s v="Manchester United"/>
    <x v="36"/>
    <n v="210000"/>
    <s v="RDM"/>
    <n v="80"/>
    <n v="73"/>
    <n v="73"/>
    <n v="86"/>
    <n v="85"/>
    <n v="87"/>
    <n v="84"/>
    <n v="82"/>
    <n v="90"/>
    <n v="90"/>
    <n v="71"/>
    <n v="79"/>
    <n v="74"/>
    <n v="81"/>
    <n v="64"/>
    <n v="90"/>
    <n v="83"/>
    <n v="88"/>
    <n v="89"/>
    <n v="81"/>
    <n v="78"/>
    <n v="66"/>
    <n v="81"/>
    <n v="87"/>
    <n v="81"/>
    <n v="87"/>
    <n v="66"/>
    <n v="70"/>
    <n v="68"/>
    <n v="5"/>
    <n v="6"/>
    <n v="2"/>
    <n v="4"/>
    <n v="3"/>
  </r>
  <r>
    <s v="K. Navas"/>
    <n v="31"/>
    <s v="Costa Rica"/>
    <s v="Real Madrid"/>
    <x v="37"/>
    <n v="195000"/>
    <s v="GK"/>
    <n v="11"/>
    <n v="15"/>
    <n v="11"/>
    <n v="30"/>
    <n v="11"/>
    <n v="16"/>
    <n v="11"/>
    <n v="15"/>
    <n v="37"/>
    <n v="19"/>
    <n v="54"/>
    <n v="53"/>
    <n v="60"/>
    <n v="84"/>
    <n v="61"/>
    <n v="21"/>
    <n v="74"/>
    <n v="39"/>
    <n v="75"/>
    <n v="13"/>
    <n v="32"/>
    <n v="20"/>
    <n v="16"/>
    <n v="68"/>
    <n v="25"/>
    <n v="67"/>
    <n v="28"/>
    <n v="14"/>
    <n v="14"/>
    <n v="90"/>
    <n v="81"/>
    <n v="75"/>
    <n v="82"/>
    <n v="90"/>
  </r>
  <r>
    <s v="R. Lukaku"/>
    <n v="25"/>
    <s v="Belgium"/>
    <s v="Manchester United"/>
    <x v="38"/>
    <n v="230000"/>
    <s v="ST"/>
    <n v="78"/>
    <n v="87"/>
    <n v="86"/>
    <n v="77"/>
    <n v="79"/>
    <n v="80"/>
    <n v="74"/>
    <n v="66"/>
    <n v="73"/>
    <n v="72"/>
    <n v="77"/>
    <n v="90"/>
    <n v="60"/>
    <n v="86"/>
    <n v="46"/>
    <n v="88"/>
    <n v="71"/>
    <n v="84"/>
    <n v="94"/>
    <n v="74"/>
    <n v="75"/>
    <n v="27"/>
    <n v="89"/>
    <n v="76"/>
    <n v="78"/>
    <n v="83"/>
    <n v="30"/>
    <n v="30"/>
    <n v="30"/>
    <n v="8"/>
    <n v="15"/>
    <n v="14"/>
    <n v="7"/>
    <n v="10"/>
  </r>
  <r>
    <s v="C. Immobile"/>
    <n v="28"/>
    <s v="Italy"/>
    <s v="Lazio"/>
    <x v="39"/>
    <n v="115000"/>
    <s v="ST"/>
    <n v="55"/>
    <n v="90"/>
    <n v="81"/>
    <n v="74"/>
    <n v="87"/>
    <n v="83"/>
    <n v="70"/>
    <n v="51"/>
    <n v="49"/>
    <n v="83"/>
    <n v="78"/>
    <n v="85"/>
    <n v="77"/>
    <n v="87"/>
    <n v="63"/>
    <n v="86"/>
    <n v="77"/>
    <n v="80"/>
    <n v="76"/>
    <n v="80"/>
    <n v="77"/>
    <n v="40"/>
    <n v="91"/>
    <n v="65"/>
    <n v="78"/>
    <n v="81"/>
    <n v="34"/>
    <n v="33"/>
    <n v="32"/>
    <n v="6"/>
    <n v="8"/>
    <n v="15"/>
    <n v="12"/>
    <n v="6"/>
  </r>
  <r>
    <s v="Jordi Alba"/>
    <n v="29"/>
    <s v="Spain"/>
    <s v="FC Barcelona"/>
    <x v="20"/>
    <n v="250000"/>
    <s v="LB"/>
    <n v="87"/>
    <n v="73"/>
    <n v="70"/>
    <n v="84"/>
    <n v="60"/>
    <n v="80"/>
    <n v="80"/>
    <n v="63"/>
    <n v="74"/>
    <n v="84"/>
    <n v="93"/>
    <n v="93"/>
    <n v="90"/>
    <n v="83"/>
    <n v="85"/>
    <n v="64"/>
    <n v="81"/>
    <n v="91"/>
    <n v="61"/>
    <n v="66"/>
    <n v="75"/>
    <n v="84"/>
    <n v="79"/>
    <n v="70"/>
    <n v="59"/>
    <n v="79"/>
    <n v="72"/>
    <n v="84"/>
    <n v="85"/>
    <n v="13"/>
    <n v="15"/>
    <n v="13"/>
    <n v="6"/>
    <n v="13"/>
  </r>
  <r>
    <s v="D. Mertens"/>
    <n v="31"/>
    <s v="Belgium"/>
    <s v="Napoli"/>
    <x v="40"/>
    <n v="135000"/>
    <s v="RF"/>
    <n v="77"/>
    <n v="86"/>
    <n v="35"/>
    <n v="82"/>
    <n v="70"/>
    <n v="91"/>
    <n v="82"/>
    <n v="79"/>
    <n v="74"/>
    <n v="89"/>
    <n v="93"/>
    <n v="85"/>
    <n v="94"/>
    <n v="88"/>
    <n v="92"/>
    <n v="80"/>
    <n v="60"/>
    <n v="75"/>
    <n v="42"/>
    <n v="81"/>
    <n v="59"/>
    <n v="36"/>
    <n v="87"/>
    <n v="83"/>
    <n v="79"/>
    <n v="81"/>
    <n v="25"/>
    <n v="40"/>
    <n v="40"/>
    <n v="7"/>
    <n v="10"/>
    <n v="8"/>
    <n v="10"/>
    <n v="4"/>
  </r>
  <r>
    <s v="J. Vertonghen"/>
    <n v="31"/>
    <s v="Belgium"/>
    <s v="Tottenham Hotspur"/>
    <x v="41"/>
    <n v="155000"/>
    <s v="LCB"/>
    <n v="68"/>
    <n v="56"/>
    <n v="80"/>
    <n v="79"/>
    <n v="52"/>
    <n v="71"/>
    <n v="58"/>
    <n v="73"/>
    <n v="74"/>
    <n v="76"/>
    <n v="61"/>
    <n v="65"/>
    <n v="61"/>
    <n v="84"/>
    <n v="60"/>
    <n v="80"/>
    <n v="85"/>
    <n v="75"/>
    <n v="79"/>
    <n v="66"/>
    <n v="84"/>
    <n v="89"/>
    <n v="60"/>
    <n v="68"/>
    <n v="66"/>
    <n v="83"/>
    <n v="90"/>
    <n v="87"/>
    <n v="88"/>
    <n v="6"/>
    <n v="10"/>
    <n v="9"/>
    <n v="12"/>
    <n v="7"/>
  </r>
  <r>
    <s v="M. Hamšík"/>
    <n v="30"/>
    <s v="Slovakia"/>
    <s v="Napoli"/>
    <x v="42"/>
    <n v="125000"/>
    <s v="LCM"/>
    <n v="78"/>
    <n v="79"/>
    <n v="74"/>
    <n v="88"/>
    <n v="79"/>
    <n v="86"/>
    <n v="80"/>
    <n v="72"/>
    <n v="83"/>
    <n v="87"/>
    <n v="69"/>
    <n v="68"/>
    <n v="76"/>
    <n v="88"/>
    <n v="66"/>
    <n v="82"/>
    <n v="71"/>
    <n v="84"/>
    <n v="67"/>
    <n v="83"/>
    <n v="56"/>
    <n v="72"/>
    <n v="88"/>
    <n v="86"/>
    <n v="70"/>
    <n v="84"/>
    <n v="75"/>
    <n v="73"/>
    <n v="62"/>
    <n v="8"/>
    <n v="6"/>
    <n v="4"/>
    <n v="14"/>
    <n v="14"/>
  </r>
  <r>
    <s v="I. Rakiti?"/>
    <n v="30"/>
    <s v="Croatia"/>
    <s v="FC Barcelona"/>
    <x v="42"/>
    <n v="260000"/>
    <s v="RCM"/>
    <n v="84"/>
    <n v="83"/>
    <n v="58"/>
    <n v="87"/>
    <n v="80"/>
    <n v="84"/>
    <n v="88"/>
    <n v="84"/>
    <n v="90"/>
    <n v="87"/>
    <n v="66"/>
    <n v="59"/>
    <n v="72"/>
    <n v="77"/>
    <n v="66"/>
    <n v="84"/>
    <n v="39"/>
    <n v="84"/>
    <n v="66"/>
    <n v="90"/>
    <n v="67"/>
    <n v="75"/>
    <n v="79"/>
    <n v="86"/>
    <n v="82"/>
    <n v="81"/>
    <n v="72"/>
    <n v="74"/>
    <n v="70"/>
    <n v="14"/>
    <n v="11"/>
    <n v="12"/>
    <n v="5"/>
    <n v="9"/>
  </r>
  <r>
    <s v="Piqué"/>
    <n v="31"/>
    <s v="Spain"/>
    <s v="FC Barcelona"/>
    <x v="41"/>
    <n v="240000"/>
    <s v="RCB"/>
    <n v="57"/>
    <n v="64"/>
    <n v="83"/>
    <n v="81"/>
    <n v="57"/>
    <n v="59"/>
    <n v="58"/>
    <n v="43"/>
    <n v="80"/>
    <n v="78"/>
    <n v="49"/>
    <n v="60"/>
    <n v="58"/>
    <n v="84"/>
    <n v="36"/>
    <n v="62"/>
    <n v="74"/>
    <n v="65"/>
    <n v="83"/>
    <n v="51"/>
    <n v="72"/>
    <n v="88"/>
    <n v="58"/>
    <n v="62"/>
    <n v="69"/>
    <n v="86"/>
    <n v="91"/>
    <n v="86"/>
    <n v="84"/>
    <n v="10"/>
    <n v="11"/>
    <n v="14"/>
    <n v="15"/>
    <n v="8"/>
  </r>
  <r>
    <s v="L. Sané"/>
    <n v="22"/>
    <s v="Germany"/>
    <s v="Manchester City"/>
    <x v="43"/>
    <n v="195000"/>
    <s v="LW"/>
    <n v="83"/>
    <n v="81"/>
    <n v="72"/>
    <n v="79"/>
    <n v="85"/>
    <n v="88"/>
    <n v="82"/>
    <n v="68"/>
    <n v="64"/>
    <n v="85"/>
    <n v="93"/>
    <n v="96"/>
    <n v="88"/>
    <n v="81"/>
    <n v="81"/>
    <n v="86"/>
    <n v="64"/>
    <n v="79"/>
    <n v="70"/>
    <n v="78"/>
    <n v="61"/>
    <n v="34"/>
    <n v="84"/>
    <n v="82"/>
    <n v="71"/>
    <n v="78"/>
    <n v="36"/>
    <n v="32"/>
    <n v="35"/>
    <n v="8"/>
    <n v="12"/>
    <n v="9"/>
    <n v="9"/>
    <n v="14"/>
  </r>
  <r>
    <s v="Bernardo Silva"/>
    <n v="23"/>
    <s v="Portugal"/>
    <s v="Manchester City"/>
    <x v="25"/>
    <n v="180000"/>
    <s v="RW"/>
    <n v="85"/>
    <n v="75"/>
    <n v="51"/>
    <n v="85"/>
    <n v="69"/>
    <n v="92"/>
    <n v="83"/>
    <n v="67"/>
    <n v="79"/>
    <n v="91"/>
    <n v="84"/>
    <n v="74"/>
    <n v="90"/>
    <n v="82"/>
    <n v="88"/>
    <n v="70"/>
    <n v="50"/>
    <n v="78"/>
    <n v="48"/>
    <n v="72"/>
    <n v="58"/>
    <n v="49"/>
    <n v="83"/>
    <n v="86"/>
    <n v="68"/>
    <n v="85"/>
    <n v="49"/>
    <n v="44"/>
    <n v="35"/>
    <n v="9"/>
    <n v="10"/>
    <n v="14"/>
    <n v="12"/>
    <n v="9"/>
  </r>
  <r>
    <s v="Ederson"/>
    <n v="24"/>
    <s v="Brazil"/>
    <s v="Manchester City"/>
    <x v="44"/>
    <n v="125000"/>
    <s v="GK"/>
    <n v="20"/>
    <n v="14"/>
    <n v="14"/>
    <n v="56"/>
    <n v="18"/>
    <n v="23"/>
    <n v="15"/>
    <n v="20"/>
    <n v="58"/>
    <n v="37"/>
    <n v="64"/>
    <n v="63"/>
    <n v="60"/>
    <n v="86"/>
    <n v="48"/>
    <n v="42"/>
    <n v="58"/>
    <n v="41"/>
    <n v="68"/>
    <n v="18"/>
    <n v="35"/>
    <n v="25"/>
    <n v="20"/>
    <n v="67"/>
    <n v="17"/>
    <n v="70"/>
    <n v="28"/>
    <n v="15"/>
    <n v="8"/>
    <n v="85"/>
    <n v="80"/>
    <n v="91"/>
    <n v="82"/>
    <n v="87"/>
  </r>
  <r>
    <s v="S. Mané"/>
    <n v="26"/>
    <s v="Senegal"/>
    <s v="Liverpool"/>
    <x v="39"/>
    <n v="195000"/>
    <s v="LM"/>
    <n v="73"/>
    <n v="84"/>
    <n v="62"/>
    <n v="79"/>
    <n v="71"/>
    <n v="87"/>
    <n v="74"/>
    <n v="64"/>
    <n v="71"/>
    <n v="86"/>
    <n v="95"/>
    <n v="93"/>
    <n v="91"/>
    <n v="86"/>
    <n v="86"/>
    <n v="82"/>
    <n v="75"/>
    <n v="84"/>
    <n v="67"/>
    <n v="74"/>
    <n v="73"/>
    <n v="35"/>
    <n v="87"/>
    <n v="82"/>
    <n v="71"/>
    <n v="80"/>
    <n v="42"/>
    <n v="42"/>
    <n v="38"/>
    <n v="10"/>
    <n v="10"/>
    <n v="15"/>
    <n v="7"/>
    <n v="14"/>
  </r>
  <r>
    <s v="V. van Dijk"/>
    <n v="26"/>
    <s v="Netherlands"/>
    <s v="Liverpool"/>
    <x v="45"/>
    <n v="165000"/>
    <s v="LCB"/>
    <n v="53"/>
    <n v="52"/>
    <n v="82"/>
    <n v="76"/>
    <n v="45"/>
    <n v="70"/>
    <n v="60"/>
    <n v="70"/>
    <n v="78"/>
    <n v="73"/>
    <n v="74"/>
    <n v="77"/>
    <n v="61"/>
    <n v="85"/>
    <n v="49"/>
    <n v="81"/>
    <n v="85"/>
    <n v="71"/>
    <n v="92"/>
    <n v="64"/>
    <n v="81"/>
    <n v="86"/>
    <n v="41"/>
    <n v="59"/>
    <n v="62"/>
    <n v="83"/>
    <n v="88"/>
    <n v="89"/>
    <n v="84"/>
    <n v="13"/>
    <n v="10"/>
    <n v="13"/>
    <n v="11"/>
    <n v="11"/>
  </r>
  <r>
    <s v="R. Sterling"/>
    <n v="23"/>
    <s v="England"/>
    <s v="Manchester City"/>
    <x v="46"/>
    <n v="195000"/>
    <s v="RW"/>
    <n v="77"/>
    <n v="77"/>
    <n v="38"/>
    <n v="84"/>
    <n v="67"/>
    <n v="88"/>
    <n v="70"/>
    <n v="63"/>
    <n v="69"/>
    <n v="87"/>
    <n v="95"/>
    <n v="92"/>
    <n v="93"/>
    <n v="87"/>
    <n v="93"/>
    <n v="73"/>
    <n v="57"/>
    <n v="78"/>
    <n v="52"/>
    <n v="73"/>
    <n v="38"/>
    <n v="30"/>
    <n v="87"/>
    <n v="77"/>
    <n v="69"/>
    <n v="77"/>
    <n v="47"/>
    <n v="58"/>
    <n v="54"/>
    <n v="15"/>
    <n v="12"/>
    <n v="12"/>
    <n v="15"/>
    <n v="9"/>
  </r>
  <r>
    <s v="Roberto Firmino"/>
    <n v="26"/>
    <s v="Brazil"/>
    <s v="Liverpool"/>
    <x v="47"/>
    <n v="195000"/>
    <s v="CAM"/>
    <n v="72"/>
    <n v="87"/>
    <n v="77"/>
    <n v="86"/>
    <n v="81"/>
    <n v="87"/>
    <n v="80"/>
    <n v="65"/>
    <n v="75"/>
    <n v="88"/>
    <n v="78"/>
    <n v="77"/>
    <n v="80"/>
    <n v="86"/>
    <n v="81"/>
    <n v="81"/>
    <n v="81"/>
    <n v="90"/>
    <n v="74"/>
    <n v="76"/>
    <n v="73"/>
    <n v="58"/>
    <n v="87"/>
    <n v="85"/>
    <n v="72"/>
    <n v="87"/>
    <n v="60"/>
    <n v="64"/>
    <n v="42"/>
    <n v="8"/>
    <n v="11"/>
    <n v="9"/>
    <n v="6"/>
    <n v="10"/>
  </r>
  <r>
    <s v="R. Varane"/>
    <n v="25"/>
    <s v="France"/>
    <s v="Real Madrid"/>
    <x v="48"/>
    <n v="210000"/>
    <s v="RCB"/>
    <n v="36"/>
    <n v="40"/>
    <n v="83"/>
    <n v="75"/>
    <n v="42"/>
    <n v="57"/>
    <n v="46"/>
    <n v="54"/>
    <n v="76"/>
    <n v="77"/>
    <n v="83"/>
    <n v="85"/>
    <n v="63"/>
    <n v="83"/>
    <n v="40"/>
    <n v="52"/>
    <n v="79"/>
    <n v="73"/>
    <n v="84"/>
    <n v="53"/>
    <n v="77"/>
    <n v="82"/>
    <n v="44"/>
    <n v="56"/>
    <n v="43"/>
    <n v="82"/>
    <n v="87"/>
    <n v="88"/>
    <n v="87"/>
    <n v="11"/>
    <n v="11"/>
    <n v="9"/>
    <n v="5"/>
    <n v="14"/>
  </r>
  <r>
    <s v="M. Verratti"/>
    <n v="25"/>
    <s v="Italy"/>
    <s v="Paris Saint-Germain"/>
    <x v="49"/>
    <n v="135000"/>
    <s v="LCM"/>
    <n v="72"/>
    <n v="60"/>
    <n v="55"/>
    <n v="90"/>
    <n v="64"/>
    <n v="90"/>
    <n v="73"/>
    <n v="64"/>
    <n v="89"/>
    <n v="88"/>
    <n v="69"/>
    <n v="62"/>
    <n v="87"/>
    <n v="85"/>
    <n v="94"/>
    <n v="56"/>
    <n v="64"/>
    <n v="77"/>
    <n v="52"/>
    <n v="58"/>
    <n v="89"/>
    <n v="84"/>
    <n v="71"/>
    <n v="87"/>
    <n v="64"/>
    <n v="93"/>
    <n v="78"/>
    <n v="83"/>
    <n v="80"/>
    <n v="12"/>
    <n v="12"/>
    <n v="15"/>
    <n v="15"/>
    <n v="10"/>
  </r>
  <r>
    <s v="Alex Sandro"/>
    <n v="27"/>
    <s v="Brazil"/>
    <s v="Juventus"/>
    <x v="50"/>
    <n v="160000"/>
    <s v="LB"/>
    <n v="84"/>
    <n v="55"/>
    <n v="76"/>
    <n v="81"/>
    <n v="68"/>
    <n v="80"/>
    <n v="78"/>
    <n v="59"/>
    <n v="71"/>
    <n v="81"/>
    <n v="83"/>
    <n v="86"/>
    <n v="79"/>
    <n v="84"/>
    <n v="78"/>
    <n v="80"/>
    <n v="79"/>
    <n v="92"/>
    <n v="79"/>
    <n v="72"/>
    <n v="82"/>
    <n v="82"/>
    <n v="70"/>
    <n v="70"/>
    <n v="60"/>
    <n v="82"/>
    <n v="81"/>
    <n v="84"/>
    <n v="84"/>
    <n v="7"/>
    <n v="7"/>
    <n v="9"/>
    <n v="12"/>
    <n v="5"/>
  </r>
  <r>
    <s v="Douglas Costa"/>
    <n v="27"/>
    <s v="Brazil"/>
    <s v="Juventus"/>
    <x v="42"/>
    <n v="175000"/>
    <s v="LM"/>
    <n v="84"/>
    <n v="67"/>
    <n v="50"/>
    <n v="84"/>
    <n v="76"/>
    <n v="92"/>
    <n v="84"/>
    <n v="78"/>
    <n v="68"/>
    <n v="91"/>
    <n v="97"/>
    <n v="93"/>
    <n v="93"/>
    <n v="84"/>
    <n v="91"/>
    <n v="86"/>
    <n v="61"/>
    <n v="78"/>
    <n v="63"/>
    <n v="80"/>
    <n v="55"/>
    <n v="48"/>
    <n v="76"/>
    <n v="84"/>
    <n v="77"/>
    <n v="84"/>
    <n v="45"/>
    <n v="38"/>
    <n v="34"/>
    <n v="13"/>
    <n v="15"/>
    <n v="9"/>
    <n v="12"/>
    <n v="5"/>
  </r>
  <r>
    <s v="T. Muller"/>
    <n v="28"/>
    <s v="Germany"/>
    <s v="FC Bayern Munich"/>
    <x v="40"/>
    <n v="135000"/>
    <s v="CAM"/>
    <n v="79"/>
    <n v="87"/>
    <n v="82"/>
    <n v="83"/>
    <n v="84"/>
    <n v="75"/>
    <n v="81"/>
    <n v="59"/>
    <n v="72"/>
    <n v="82"/>
    <n v="73"/>
    <n v="75"/>
    <n v="75"/>
    <n v="91"/>
    <n v="72"/>
    <n v="78"/>
    <n v="81"/>
    <n v="87"/>
    <n v="68"/>
    <n v="80"/>
    <n v="57"/>
    <n v="58"/>
    <n v="92"/>
    <n v="85"/>
    <n v="60"/>
    <n v="83"/>
    <n v="44"/>
    <n v="41"/>
    <n v="44"/>
    <n v="6"/>
    <n v="7"/>
    <n v="11"/>
    <n v="14"/>
    <n v="14"/>
  </r>
  <r>
    <s v="Thiago"/>
    <n v="27"/>
    <s v="Spain"/>
    <s v="FC Bayern Munich"/>
    <x v="51"/>
    <n v="130000"/>
    <s v="CM"/>
    <n v="72"/>
    <n v="69"/>
    <n v="54"/>
    <n v="90"/>
    <n v="90"/>
    <n v="90"/>
    <n v="85"/>
    <n v="77"/>
    <n v="87"/>
    <n v="90"/>
    <n v="78"/>
    <n v="69"/>
    <n v="90"/>
    <n v="84"/>
    <n v="86"/>
    <n v="75"/>
    <n v="75"/>
    <n v="75"/>
    <n v="59"/>
    <n v="79"/>
    <n v="57"/>
    <n v="78"/>
    <n v="79"/>
    <n v="86"/>
    <n v="75"/>
    <n v="85"/>
    <n v="67"/>
    <n v="63"/>
    <n v="65"/>
    <n v="6"/>
    <n v="11"/>
    <n v="7"/>
    <n v="9"/>
    <n v="13"/>
  </r>
  <r>
    <s v="M. Reus"/>
    <n v="29"/>
    <s v="Germany"/>
    <s v="Borussia Dortmund"/>
    <x v="52"/>
    <n v="100000"/>
    <s v="LM"/>
    <n v="79"/>
    <n v="87"/>
    <n v="49"/>
    <n v="86"/>
    <n v="90"/>
    <n v="87"/>
    <n v="89"/>
    <n v="84"/>
    <n v="75"/>
    <n v="86"/>
    <n v="86"/>
    <n v="85"/>
    <n v="86"/>
    <n v="87"/>
    <n v="81"/>
    <n v="88"/>
    <n v="70"/>
    <n v="73"/>
    <n v="67"/>
    <n v="86"/>
    <n v="49"/>
    <n v="50"/>
    <n v="88"/>
    <n v="86"/>
    <n v="89"/>
    <n v="84"/>
    <n v="47"/>
    <n v="36"/>
    <n v="45"/>
    <n v="12"/>
    <n v="12"/>
    <n v="13"/>
    <n v="13"/>
    <n v="11"/>
  </r>
  <r>
    <s v="Azpilicueta"/>
    <n v="28"/>
    <s v="Spain"/>
    <s v="Chelsea"/>
    <x v="53"/>
    <n v="175000"/>
    <s v="RB"/>
    <n v="81"/>
    <n v="46"/>
    <n v="76"/>
    <n v="81"/>
    <n v="51"/>
    <n v="69"/>
    <n v="68"/>
    <n v="58"/>
    <n v="80"/>
    <n v="77"/>
    <n v="76"/>
    <n v="76"/>
    <n v="72"/>
    <n v="88"/>
    <n v="73"/>
    <n v="68"/>
    <n v="76"/>
    <n v="87"/>
    <n v="71"/>
    <n v="60"/>
    <n v="82"/>
    <n v="89"/>
    <n v="62"/>
    <n v="74"/>
    <n v="66"/>
    <n v="78"/>
    <n v="88"/>
    <n v="90"/>
    <n v="86"/>
    <n v="13"/>
    <n v="9"/>
    <n v="10"/>
    <n v="6"/>
    <n v="5"/>
  </r>
  <r>
    <s v="L. Bonucci"/>
    <n v="31"/>
    <s v="Italy"/>
    <s v="Juventus"/>
    <x v="34"/>
    <n v="160000"/>
    <s v="RCB"/>
    <n v="44"/>
    <n v="48"/>
    <n v="86"/>
    <n v="77"/>
    <n v="58"/>
    <n v="69"/>
    <n v="56"/>
    <n v="61"/>
    <n v="85"/>
    <n v="75"/>
    <n v="57"/>
    <n v="65"/>
    <n v="60"/>
    <n v="84"/>
    <n v="52"/>
    <n v="74"/>
    <n v="85"/>
    <n v="71"/>
    <n v="83"/>
    <n v="65"/>
    <n v="82"/>
    <n v="90"/>
    <n v="38"/>
    <n v="74"/>
    <n v="70"/>
    <n v="86"/>
    <n v="90"/>
    <n v="86"/>
    <n v="80"/>
    <n v="2"/>
    <n v="2"/>
    <n v="3"/>
    <n v="2"/>
    <n v="4"/>
  </r>
  <r>
    <s v="T. Alderweireld"/>
    <n v="29"/>
    <s v="Belgium"/>
    <s v="Tottenham Hotspur"/>
    <x v="54"/>
    <n v="150000"/>
    <s v="RCB"/>
    <n v="64"/>
    <n v="45"/>
    <n v="82"/>
    <n v="79"/>
    <n v="38"/>
    <n v="62"/>
    <n v="63"/>
    <n v="69"/>
    <n v="85"/>
    <n v="74"/>
    <n v="61"/>
    <n v="66"/>
    <n v="60"/>
    <n v="86"/>
    <n v="50"/>
    <n v="78"/>
    <n v="84"/>
    <n v="74"/>
    <n v="79"/>
    <n v="65"/>
    <n v="80"/>
    <n v="87"/>
    <n v="58"/>
    <n v="67"/>
    <n v="58"/>
    <n v="81"/>
    <n v="90"/>
    <n v="91"/>
    <n v="86"/>
    <n v="16"/>
    <n v="6"/>
    <n v="14"/>
    <n v="16"/>
    <n v="14"/>
  </r>
  <r>
    <s v="M. Pjani?"/>
    <n v="28"/>
    <s v="Bosnia Herzegovina"/>
    <s v="Juventus"/>
    <x v="11"/>
    <n v="180000"/>
    <s v="CDM"/>
    <n v="80"/>
    <n v="60"/>
    <n v="60"/>
    <n v="89"/>
    <n v="72"/>
    <n v="86"/>
    <n v="86"/>
    <n v="92"/>
    <n v="85"/>
    <n v="89"/>
    <n v="66"/>
    <n v="66"/>
    <n v="77"/>
    <n v="84"/>
    <n v="79"/>
    <n v="78"/>
    <n v="61"/>
    <n v="78"/>
    <n v="66"/>
    <n v="82"/>
    <n v="70"/>
    <n v="78"/>
    <n v="70"/>
    <n v="88"/>
    <n v="79"/>
    <n v="86"/>
    <n v="75"/>
    <n v="74"/>
    <n v="70"/>
    <n v="7"/>
    <n v="7"/>
    <n v="13"/>
    <n v="7"/>
    <n v="8"/>
  </r>
  <r>
    <s v="M. Benatia"/>
    <n v="31"/>
    <s v="Morocco"/>
    <s v="Juventus"/>
    <x v="34"/>
    <n v="160000"/>
    <s v="CB"/>
    <n v="45"/>
    <n v="47"/>
    <n v="83"/>
    <n v="65"/>
    <n v="44"/>
    <n v="64"/>
    <n v="34"/>
    <n v="27"/>
    <n v="65"/>
    <n v="64"/>
    <n v="65"/>
    <n v="75"/>
    <n v="59"/>
    <n v="82"/>
    <n v="53"/>
    <n v="66"/>
    <n v="85"/>
    <n v="69"/>
    <n v="91"/>
    <n v="24"/>
    <n v="86"/>
    <n v="86"/>
    <n v="38"/>
    <n v="47"/>
    <n v="41"/>
    <n v="82"/>
    <n v="89"/>
    <n v="87"/>
    <n v="85"/>
    <n v="7"/>
    <n v="4"/>
    <n v="8"/>
    <n v="7"/>
    <n v="11"/>
  </r>
  <r>
    <s v="M. Ozil"/>
    <n v="29"/>
    <s v="Germany"/>
    <s v="Arsenal"/>
    <x v="52"/>
    <n v="190000"/>
    <s v="CAM"/>
    <n v="83"/>
    <n v="73"/>
    <n v="54"/>
    <n v="89"/>
    <n v="80"/>
    <n v="84"/>
    <n v="84"/>
    <n v="77"/>
    <n v="82"/>
    <n v="90"/>
    <n v="72"/>
    <n v="69"/>
    <n v="79"/>
    <n v="84"/>
    <n v="70"/>
    <n v="70"/>
    <n v="48"/>
    <n v="69"/>
    <n v="57"/>
    <n v="75"/>
    <n v="48"/>
    <n v="24"/>
    <n v="83"/>
    <n v="91"/>
    <n v="67"/>
    <n v="82"/>
    <n v="24"/>
    <n v="16"/>
    <n v="19"/>
    <n v="6"/>
    <n v="14"/>
    <n v="10"/>
    <n v="6"/>
    <n v="14"/>
  </r>
  <r>
    <s v="Fernandinho"/>
    <n v="33"/>
    <s v="Brazil"/>
    <s v="Manchester City"/>
    <x v="55"/>
    <n v="185000"/>
    <s v="CDM"/>
    <n v="68"/>
    <n v="69"/>
    <n v="63"/>
    <n v="85"/>
    <n v="74"/>
    <n v="77"/>
    <n v="70"/>
    <n v="72"/>
    <n v="81"/>
    <n v="82"/>
    <n v="68"/>
    <n v="67"/>
    <n v="72"/>
    <n v="86"/>
    <n v="78"/>
    <n v="83"/>
    <n v="76"/>
    <n v="79"/>
    <n v="76"/>
    <n v="78"/>
    <n v="87"/>
    <n v="88"/>
    <n v="70"/>
    <n v="75"/>
    <n v="61"/>
    <n v="79"/>
    <n v="85"/>
    <n v="85"/>
    <n v="80"/>
    <n v="12"/>
    <n v="11"/>
    <n v="5"/>
    <n v="13"/>
    <n v="7"/>
  </r>
  <r>
    <s v="Iniesta"/>
    <n v="34"/>
    <s v="Spain"/>
    <s v="Vissel Kobe"/>
    <x v="56"/>
    <n v="21000"/>
    <s v="LF"/>
    <n v="77"/>
    <n v="70"/>
    <n v="54"/>
    <n v="90"/>
    <n v="74"/>
    <n v="90"/>
    <n v="80"/>
    <n v="70"/>
    <n v="85"/>
    <n v="92"/>
    <n v="70"/>
    <n v="67"/>
    <n v="79"/>
    <n v="86"/>
    <n v="84"/>
    <n v="65"/>
    <n v="47"/>
    <n v="55"/>
    <n v="58"/>
    <n v="71"/>
    <n v="58"/>
    <n v="66"/>
    <n v="81"/>
    <n v="93"/>
    <n v="71"/>
    <n v="89"/>
    <n v="67"/>
    <n v="57"/>
    <n v="56"/>
    <n v="6"/>
    <n v="13"/>
    <n v="6"/>
    <n v="13"/>
    <n v="7"/>
  </r>
  <r>
    <s v="M. Škriniar"/>
    <n v="23"/>
    <s v="Slovakia"/>
    <s v="Inter"/>
    <x v="42"/>
    <n v="82000"/>
    <s v="LCB"/>
    <n v="40"/>
    <n v="42"/>
    <n v="80"/>
    <n v="70"/>
    <n v="40"/>
    <n v="59"/>
    <n v="34"/>
    <n v="30"/>
    <n v="68"/>
    <n v="67"/>
    <n v="70"/>
    <n v="73"/>
    <n v="48"/>
    <n v="81"/>
    <n v="48"/>
    <n v="50"/>
    <n v="78"/>
    <n v="77"/>
    <n v="83"/>
    <n v="30"/>
    <n v="86"/>
    <n v="86"/>
    <n v="30"/>
    <n v="57"/>
    <n v="56"/>
    <n v="80"/>
    <n v="92"/>
    <n v="88"/>
    <n v="82"/>
    <n v="10"/>
    <n v="13"/>
    <n v="12"/>
    <n v="8"/>
    <n v="12"/>
  </r>
  <r>
    <s v="S. Milinkovi?-Savi?"/>
    <n v="23"/>
    <s v="Serbia"/>
    <s v="Lazio"/>
    <x v="57"/>
    <n v="73000"/>
    <s v="CM"/>
    <n v="64"/>
    <n v="80"/>
    <n v="86"/>
    <n v="85"/>
    <n v="74"/>
    <n v="86"/>
    <n v="78"/>
    <n v="75"/>
    <n v="85"/>
    <n v="87"/>
    <n v="68"/>
    <n v="70"/>
    <n v="66"/>
    <n v="80"/>
    <n v="59"/>
    <n v="83"/>
    <n v="85"/>
    <n v="85"/>
    <n v="88"/>
    <n v="80"/>
    <n v="73"/>
    <n v="78"/>
    <n v="79"/>
    <n v="85"/>
    <n v="56"/>
    <n v="82"/>
    <n v="75"/>
    <n v="77"/>
    <n v="72"/>
    <n v="7"/>
    <n v="10"/>
    <n v="7"/>
    <n v="16"/>
    <n v="7"/>
  </r>
  <r>
    <s v="Marco Asensio"/>
    <n v="22"/>
    <s v="Spain"/>
    <s v="Real Madrid"/>
    <x v="58"/>
    <n v="215000"/>
    <s v="RW"/>
    <n v="82"/>
    <n v="82"/>
    <n v="50"/>
    <n v="83"/>
    <n v="79"/>
    <n v="86"/>
    <n v="83"/>
    <n v="76"/>
    <n v="82"/>
    <n v="85"/>
    <n v="85"/>
    <n v="82"/>
    <n v="79"/>
    <n v="82"/>
    <n v="76"/>
    <n v="86"/>
    <n v="58"/>
    <n v="76"/>
    <n v="61"/>
    <n v="88"/>
    <n v="45"/>
    <n v="45"/>
    <n v="82"/>
    <n v="84"/>
    <n v="62"/>
    <n v="83"/>
    <n v="40"/>
    <n v="42"/>
    <n v="39"/>
    <n v="13"/>
    <n v="9"/>
    <n v="6"/>
    <n v="12"/>
    <n v="10"/>
  </r>
  <r>
    <s v="N. Fekir"/>
    <n v="24"/>
    <s v="France"/>
    <s v="Olympique Lyonnais"/>
    <x v="48"/>
    <n v="92000"/>
    <s v="CAM"/>
    <n v="83"/>
    <n v="82"/>
    <n v="49"/>
    <n v="83"/>
    <n v="77"/>
    <n v="90"/>
    <n v="81"/>
    <n v="79"/>
    <n v="75"/>
    <n v="89"/>
    <n v="79"/>
    <n v="79"/>
    <n v="90"/>
    <n v="80"/>
    <n v="91"/>
    <n v="84"/>
    <n v="69"/>
    <n v="80"/>
    <n v="82"/>
    <n v="82"/>
    <n v="73"/>
    <n v="28"/>
    <n v="81"/>
    <n v="81"/>
    <n v="81"/>
    <n v="89"/>
    <n v="31"/>
    <n v="37"/>
    <n v="25"/>
    <n v="15"/>
    <n v="9"/>
    <n v="8"/>
    <n v="14"/>
    <n v="15"/>
  </r>
  <r>
    <s v="Alisson"/>
    <n v="25"/>
    <s v="Brazil"/>
    <s v="Liverpool"/>
    <x v="50"/>
    <n v="115000"/>
    <s v="GK"/>
    <n v="17"/>
    <n v="13"/>
    <n v="19"/>
    <n v="45"/>
    <n v="20"/>
    <n v="27"/>
    <n v="19"/>
    <n v="18"/>
    <n v="44"/>
    <n v="30"/>
    <n v="54"/>
    <n v="45"/>
    <n v="40"/>
    <n v="84"/>
    <n v="37"/>
    <n v="21"/>
    <n v="52"/>
    <n v="32"/>
    <n v="78"/>
    <n v="14"/>
    <n v="27"/>
    <n v="11"/>
    <n v="13"/>
    <n v="66"/>
    <n v="23"/>
    <n v="65"/>
    <n v="15"/>
    <n v="19"/>
    <n v="16"/>
    <n v="83"/>
    <n v="81"/>
    <n v="85"/>
    <n v="84"/>
    <n v="88"/>
  </r>
  <r>
    <s v="J. Kimmich"/>
    <n v="23"/>
    <s v="Germany"/>
    <s v="FC Bayern Munich"/>
    <x v="59"/>
    <n v="92000"/>
    <s v="RCM"/>
    <n v="90"/>
    <n v="66"/>
    <n v="74"/>
    <n v="85"/>
    <n v="61"/>
    <n v="80"/>
    <n v="81"/>
    <n v="61"/>
    <n v="80"/>
    <n v="85"/>
    <n v="78"/>
    <n v="68"/>
    <n v="84"/>
    <n v="85"/>
    <n v="83"/>
    <n v="75"/>
    <n v="79"/>
    <n v="85"/>
    <n v="65"/>
    <n v="69"/>
    <n v="74"/>
    <n v="79"/>
    <n v="80"/>
    <n v="79"/>
    <n v="44"/>
    <n v="82"/>
    <n v="75"/>
    <n v="81"/>
    <n v="79"/>
    <n v="8"/>
    <n v="15"/>
    <n v="7"/>
    <n v="15"/>
    <n v="15"/>
  </r>
  <r>
    <s v="Saúl"/>
    <n v="23"/>
    <s v="Spain"/>
    <s v="Atletico Madrid"/>
    <x v="57"/>
    <n v="77000"/>
    <s v="RCM"/>
    <n v="69"/>
    <n v="78"/>
    <n v="83"/>
    <n v="85"/>
    <n v="76"/>
    <n v="83"/>
    <n v="72"/>
    <n v="60"/>
    <n v="83"/>
    <n v="85"/>
    <n v="74"/>
    <n v="73"/>
    <n v="76"/>
    <n v="82"/>
    <n v="69"/>
    <n v="78"/>
    <n v="79"/>
    <n v="86"/>
    <n v="77"/>
    <n v="79"/>
    <n v="69"/>
    <n v="78"/>
    <n v="82"/>
    <n v="82"/>
    <n v="55"/>
    <n v="83"/>
    <n v="77"/>
    <n v="79"/>
    <n v="76"/>
    <n v="7"/>
    <n v="13"/>
    <n v="12"/>
    <n v="10"/>
    <n v="9"/>
  </r>
  <r>
    <s v="R. Mahrez"/>
    <n v="27"/>
    <s v="Algeria"/>
    <s v="Manchester City"/>
    <x v="59"/>
    <n v="205000"/>
    <s v="RW"/>
    <n v="81"/>
    <n v="80"/>
    <n v="48"/>
    <n v="82"/>
    <n v="72"/>
    <n v="91"/>
    <n v="84"/>
    <n v="78"/>
    <n v="76"/>
    <n v="90"/>
    <n v="88"/>
    <n v="83"/>
    <n v="93"/>
    <n v="77"/>
    <n v="88"/>
    <n v="79"/>
    <n v="61"/>
    <n v="76"/>
    <n v="54"/>
    <n v="81"/>
    <n v="48"/>
    <n v="39"/>
    <n v="80"/>
    <n v="81"/>
    <n v="73"/>
    <n v="86"/>
    <n v="45"/>
    <n v="31"/>
    <n v="18"/>
    <n v="15"/>
    <n v="9"/>
    <n v="13"/>
    <n v="11"/>
    <n v="6"/>
  </r>
  <r>
    <s v="D. Alaba"/>
    <n v="26"/>
    <s v="Austria"/>
    <s v="FC Bayern Munich"/>
    <x v="20"/>
    <n v="110000"/>
    <s v="LB"/>
    <n v="81"/>
    <n v="63"/>
    <n v="75"/>
    <n v="82"/>
    <n v="68"/>
    <n v="79"/>
    <n v="78"/>
    <n v="84"/>
    <n v="80"/>
    <n v="83"/>
    <n v="79"/>
    <n v="86"/>
    <n v="79"/>
    <n v="84"/>
    <n v="77"/>
    <n v="83"/>
    <n v="82"/>
    <n v="87"/>
    <n v="71"/>
    <n v="82"/>
    <n v="69"/>
    <n v="84"/>
    <n v="76"/>
    <n v="77"/>
    <n v="80"/>
    <n v="79"/>
    <n v="80"/>
    <n v="82"/>
    <n v="80"/>
    <n v="5"/>
    <n v="7"/>
    <n v="14"/>
    <n v="15"/>
    <n v="9"/>
  </r>
  <r>
    <s v="Koke"/>
    <n v="26"/>
    <s v="Spain"/>
    <s v="Atletico Madrid"/>
    <x v="40"/>
    <n v="88000"/>
    <s v="LM"/>
    <n v="86"/>
    <n v="72"/>
    <n v="61"/>
    <n v="90"/>
    <n v="56"/>
    <n v="82"/>
    <n v="85"/>
    <n v="76"/>
    <n v="89"/>
    <n v="86"/>
    <n v="71"/>
    <n v="68"/>
    <n v="74"/>
    <n v="85"/>
    <n v="78"/>
    <n v="84"/>
    <n v="61"/>
    <n v="90"/>
    <n v="79"/>
    <n v="81"/>
    <n v="71"/>
    <n v="66"/>
    <n v="84"/>
    <n v="87"/>
    <n v="59"/>
    <n v="78"/>
    <n v="80"/>
    <n v="69"/>
    <n v="51"/>
    <n v="14"/>
    <n v="12"/>
    <n v="5"/>
    <n v="10"/>
    <n v="13"/>
  </r>
  <r>
    <s v="A. Lacazette"/>
    <n v="27"/>
    <s v="France"/>
    <s v="Arsenal"/>
    <x v="40"/>
    <n v="180000"/>
    <s v="ST"/>
    <n v="64"/>
    <n v="88"/>
    <n v="73"/>
    <n v="80"/>
    <n v="81"/>
    <n v="85"/>
    <n v="74"/>
    <n v="71"/>
    <n v="59"/>
    <n v="83"/>
    <n v="81"/>
    <n v="84"/>
    <n v="85"/>
    <n v="85"/>
    <n v="85"/>
    <n v="83"/>
    <n v="76"/>
    <n v="79"/>
    <n v="73"/>
    <n v="75"/>
    <n v="70"/>
    <n v="42"/>
    <n v="86"/>
    <n v="76"/>
    <n v="84"/>
    <n v="85"/>
    <n v="29"/>
    <n v="42"/>
    <n v="30"/>
    <n v="11"/>
    <n v="6"/>
    <n v="9"/>
    <n v="5"/>
    <n v="6"/>
  </r>
  <r>
    <s v="K. Manolas"/>
    <n v="27"/>
    <s v="Greece"/>
    <s v="Roma"/>
    <x v="60"/>
    <n v="96000"/>
    <s v="LCB"/>
    <n v="27"/>
    <n v="10"/>
    <n v="80"/>
    <n v="60"/>
    <n v="16"/>
    <n v="54"/>
    <n v="30"/>
    <n v="10"/>
    <n v="61"/>
    <n v="65"/>
    <n v="80"/>
    <n v="85"/>
    <n v="68"/>
    <n v="85"/>
    <n v="59"/>
    <n v="40"/>
    <n v="86"/>
    <n v="76"/>
    <n v="82"/>
    <n v="12"/>
    <n v="86"/>
    <n v="86"/>
    <n v="25"/>
    <n v="22"/>
    <n v="26"/>
    <n v="79"/>
    <n v="86"/>
    <n v="87"/>
    <n v="89"/>
    <n v="8"/>
    <n v="6"/>
    <n v="8"/>
    <n v="15"/>
    <n v="12"/>
  </r>
  <r>
    <s v="N. Otamendi"/>
    <n v="30"/>
    <s v="Argentina"/>
    <s v="Manchester City"/>
    <x v="61"/>
    <n v="170000"/>
    <s v="CB"/>
    <n v="52"/>
    <n v="54"/>
    <n v="85"/>
    <n v="75"/>
    <n v="57"/>
    <n v="51"/>
    <n v="50"/>
    <n v="39"/>
    <n v="72"/>
    <n v="70"/>
    <n v="57"/>
    <n v="61"/>
    <n v="64"/>
    <n v="79"/>
    <n v="62"/>
    <n v="69"/>
    <n v="92"/>
    <n v="67"/>
    <n v="80"/>
    <n v="56"/>
    <n v="91"/>
    <n v="84"/>
    <n v="51"/>
    <n v="53"/>
    <n v="45"/>
    <n v="80"/>
    <n v="83"/>
    <n v="85"/>
    <n v="84"/>
    <n v="12"/>
    <n v="5"/>
    <n v="8"/>
    <n v="11"/>
    <n v="12"/>
  </r>
  <r>
    <s v="Parejo"/>
    <n v="29"/>
    <s v="Spain"/>
    <s v="Valencia CF"/>
    <x v="62"/>
    <n v="66000"/>
    <s v="RCM"/>
    <n v="84"/>
    <n v="79"/>
    <n v="61"/>
    <n v="90"/>
    <n v="72"/>
    <n v="78"/>
    <n v="89"/>
    <n v="90"/>
    <n v="87"/>
    <n v="84"/>
    <n v="51"/>
    <n v="43"/>
    <n v="66"/>
    <n v="78"/>
    <n v="72"/>
    <n v="78"/>
    <n v="51"/>
    <n v="78"/>
    <n v="72"/>
    <n v="82"/>
    <n v="58"/>
    <n v="81"/>
    <n v="81"/>
    <n v="86"/>
    <n v="83"/>
    <n v="78"/>
    <n v="69"/>
    <n v="68"/>
    <n v="60"/>
    <n v="5"/>
    <n v="9"/>
    <n v="12"/>
    <n v="14"/>
    <n v="8"/>
  </r>
  <r>
    <s v="bernardo Silva"/>
    <n v="29"/>
    <s v="Brazil"/>
    <s v="Guangzhou Evergrande Taobao FC"/>
    <x v="62"/>
    <n v="235000"/>
    <s v="LDM"/>
    <n v="64"/>
    <n v="81"/>
    <n v="85"/>
    <n v="84"/>
    <n v="75"/>
    <n v="82"/>
    <n v="66"/>
    <n v="72"/>
    <n v="80"/>
    <n v="84"/>
    <n v="73"/>
    <n v="73"/>
    <n v="69"/>
    <n v="84"/>
    <n v="66"/>
    <n v="83"/>
    <n v="90"/>
    <n v="92"/>
    <n v="81"/>
    <n v="80"/>
    <n v="81"/>
    <n v="81"/>
    <n v="84"/>
    <n v="78"/>
    <n v="71"/>
    <n v="80"/>
    <n v="75"/>
    <n v="81"/>
    <n v="73"/>
    <n v="16"/>
    <n v="16"/>
    <n v="11"/>
    <n v="6"/>
    <n v="8"/>
  </r>
  <r>
    <s v="W. Szcz?sny"/>
    <n v="28"/>
    <s v="Poland"/>
    <s v="Juventus"/>
    <x v="63"/>
    <n v="125000"/>
    <s v="GK"/>
    <n v="12"/>
    <n v="12"/>
    <n v="16"/>
    <n v="32"/>
    <n v="14"/>
    <n v="11"/>
    <n v="16"/>
    <n v="14"/>
    <n v="36"/>
    <n v="22"/>
    <n v="51"/>
    <n v="47"/>
    <n v="55"/>
    <n v="82"/>
    <n v="51"/>
    <n v="15"/>
    <n v="71"/>
    <n v="45"/>
    <n v="65"/>
    <n v="14"/>
    <n v="40"/>
    <n v="15"/>
    <n v="14"/>
    <n v="48"/>
    <n v="18"/>
    <n v="65"/>
    <n v="20"/>
    <n v="13"/>
    <n v="12"/>
    <n v="85"/>
    <n v="81"/>
    <n v="71"/>
    <n v="85"/>
    <n v="87"/>
  </r>
  <r>
    <s v="A. SÃnchez"/>
    <n v="29"/>
    <s v="Chile"/>
    <s v="Manchester United"/>
    <x v="60"/>
    <n v="215000"/>
    <s v="RW"/>
    <n v="77"/>
    <n v="80"/>
    <n v="73"/>
    <n v="77"/>
    <n v="83"/>
    <n v="87"/>
    <n v="79"/>
    <n v="78"/>
    <n v="75"/>
    <n v="86"/>
    <n v="86"/>
    <n v="79"/>
    <n v="90"/>
    <n v="83"/>
    <n v="87"/>
    <n v="84"/>
    <n v="87"/>
    <n v="83"/>
    <n v="72"/>
    <n v="81"/>
    <n v="79"/>
    <n v="46"/>
    <n v="84"/>
    <n v="82"/>
    <n v="77"/>
    <n v="84"/>
    <n v="38"/>
    <n v="44"/>
    <n v="35"/>
    <n v="10"/>
    <n v="10"/>
    <n v="15"/>
    <n v="12"/>
    <n v="13"/>
  </r>
  <r>
    <s v="Y. Brahimi"/>
    <n v="28"/>
    <s v="Algeria"/>
    <s v="FC Porto"/>
    <x v="54"/>
    <n v="28000"/>
    <s v="LM"/>
    <n v="79"/>
    <n v="76"/>
    <n v="46"/>
    <n v="79"/>
    <n v="73"/>
    <n v="93"/>
    <n v="84"/>
    <n v="78"/>
    <n v="72"/>
    <n v="86"/>
    <n v="87"/>
    <n v="75"/>
    <n v="92"/>
    <n v="84"/>
    <n v="87"/>
    <n v="69"/>
    <n v="72"/>
    <n v="85"/>
    <n v="49"/>
    <n v="76"/>
    <n v="46"/>
    <n v="38"/>
    <n v="83"/>
    <n v="79"/>
    <n v="75"/>
    <n v="90"/>
    <n v="51"/>
    <n v="36"/>
    <n v="25"/>
    <n v="13"/>
    <n v="16"/>
    <n v="12"/>
    <n v="7"/>
    <n v="7"/>
  </r>
  <r>
    <s v="J. Boateng"/>
    <n v="29"/>
    <s v="Germany"/>
    <s v="FC Bayern Munich"/>
    <x v="34"/>
    <n v="115000"/>
    <s v="RCB"/>
    <n v="69"/>
    <n v="34"/>
    <n v="85"/>
    <n v="75"/>
    <n v="52"/>
    <n v="64"/>
    <n v="53"/>
    <n v="31"/>
    <n v="83"/>
    <n v="70"/>
    <n v="67"/>
    <n v="72"/>
    <n v="56"/>
    <n v="82"/>
    <n v="52"/>
    <n v="78"/>
    <n v="74"/>
    <n v="69"/>
    <n v="91"/>
    <n v="58"/>
    <n v="81"/>
    <n v="81"/>
    <n v="47"/>
    <n v="75"/>
    <n v="46"/>
    <n v="84"/>
    <n v="84"/>
    <n v="87"/>
    <n v="87"/>
    <n v="7"/>
    <n v="12"/>
    <n v="15"/>
    <n v="6"/>
    <n v="5"/>
  </r>
  <r>
    <s v="A. Vidal"/>
    <n v="31"/>
    <s v="Chile"/>
    <s v="FC Barcelona"/>
    <x v="64"/>
    <n v="205000"/>
    <s v="CAM"/>
    <n v="76"/>
    <n v="75"/>
    <n v="82"/>
    <n v="83"/>
    <n v="78"/>
    <n v="76"/>
    <n v="76"/>
    <n v="68"/>
    <n v="79"/>
    <n v="82"/>
    <n v="60"/>
    <n v="55"/>
    <n v="74"/>
    <n v="84"/>
    <n v="75"/>
    <n v="86"/>
    <n v="85"/>
    <n v="83"/>
    <n v="79"/>
    <n v="85"/>
    <n v="93"/>
    <n v="84"/>
    <n v="80"/>
    <n v="80"/>
    <n v="81"/>
    <n v="81"/>
    <n v="82"/>
    <n v="87"/>
    <n v="86"/>
    <n v="4"/>
    <n v="2"/>
    <n v="4"/>
    <n v="2"/>
    <n v="4"/>
  </r>
  <r>
    <s v="I. Periši?"/>
    <n v="29"/>
    <s v="Croatia"/>
    <s v="Inter"/>
    <x v="60"/>
    <n v="110000"/>
    <s v="LM"/>
    <n v="83"/>
    <n v="79"/>
    <n v="80"/>
    <n v="81"/>
    <n v="81"/>
    <n v="84"/>
    <n v="73"/>
    <n v="75"/>
    <n v="77"/>
    <n v="85"/>
    <n v="84"/>
    <n v="88"/>
    <n v="78"/>
    <n v="81"/>
    <n v="74"/>
    <n v="84"/>
    <n v="84"/>
    <n v="89"/>
    <n v="78"/>
    <n v="79"/>
    <n v="65"/>
    <n v="69"/>
    <n v="85"/>
    <n v="79"/>
    <n v="76"/>
    <n v="80"/>
    <n v="64"/>
    <n v="52"/>
    <n v="54"/>
    <n v="6"/>
    <n v="7"/>
    <n v="10"/>
    <n v="9"/>
    <n v="6"/>
  </r>
  <r>
    <s v="E. Džeko"/>
    <n v="32"/>
    <s v="Bosnia Herzegovina"/>
    <s v="Roma"/>
    <x v="37"/>
    <n v="115000"/>
    <s v="ST"/>
    <n v="63"/>
    <n v="89"/>
    <n v="84"/>
    <n v="77"/>
    <n v="77"/>
    <n v="76"/>
    <n v="65"/>
    <n v="54"/>
    <n v="72"/>
    <n v="84"/>
    <n v="65"/>
    <n v="66"/>
    <n v="57"/>
    <n v="83"/>
    <n v="36"/>
    <n v="86"/>
    <n v="66"/>
    <n v="76"/>
    <n v="80"/>
    <n v="79"/>
    <n v="51"/>
    <n v="50"/>
    <n v="89"/>
    <n v="74"/>
    <n v="67"/>
    <n v="83"/>
    <n v="58"/>
    <n v="28"/>
    <n v="16"/>
    <n v="9"/>
    <n v="11"/>
    <n v="13"/>
    <n v="15"/>
    <n v="15"/>
  </r>
  <r>
    <s v="S. Khedira"/>
    <n v="31"/>
    <s v="Germany"/>
    <s v="Juventus"/>
    <x v="65"/>
    <n v="160000"/>
    <s v="RCM"/>
    <n v="72"/>
    <n v="72"/>
    <n v="76"/>
    <n v="85"/>
    <n v="78"/>
    <n v="81"/>
    <n v="68"/>
    <n v="68"/>
    <n v="82"/>
    <n v="84"/>
    <n v="54"/>
    <n v="60"/>
    <n v="55"/>
    <n v="87"/>
    <n v="54"/>
    <n v="82"/>
    <n v="68"/>
    <n v="78"/>
    <n v="87"/>
    <n v="78"/>
    <n v="82"/>
    <n v="86"/>
    <n v="79"/>
    <n v="82"/>
    <n v="69"/>
    <n v="84"/>
    <n v="80"/>
    <n v="83"/>
    <n v="76"/>
    <n v="11"/>
    <n v="9"/>
    <n v="5"/>
    <n v="15"/>
    <n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L. Messi"/>
    <x v="0"/>
    <s v="Argentina"/>
    <x v="0"/>
    <x v="0"/>
    <x v="0"/>
    <s v="RF"/>
    <n v="84"/>
    <n v="95"/>
    <n v="70"/>
    <n v="90"/>
    <n v="86"/>
    <n v="97"/>
    <n v="93"/>
    <n v="94"/>
    <n v="87"/>
    <n v="96"/>
    <n v="91"/>
    <n v="86"/>
    <n v="91"/>
    <n v="95"/>
    <n v="95"/>
    <n v="85"/>
    <n v="68"/>
    <n v="72"/>
    <n v="59"/>
    <n v="94"/>
    <n v="48"/>
    <n v="22"/>
    <n v="94"/>
    <n v="94"/>
    <n v="75"/>
    <n v="96"/>
    <n v="33"/>
    <n v="28"/>
    <n v="26"/>
    <n v="6"/>
    <n v="11"/>
    <n v="15"/>
    <n v="14"/>
    <n v="8"/>
  </r>
  <r>
    <s v="Cristiano Ronaldo"/>
    <x v="1"/>
    <s v="Portugal"/>
    <x v="1"/>
    <x v="1"/>
    <x v="1"/>
    <s v="ST"/>
    <n v="84"/>
    <n v="94"/>
    <n v="89"/>
    <n v="81"/>
    <n v="87"/>
    <n v="88"/>
    <n v="81"/>
    <n v="76"/>
    <n v="77"/>
    <n v="94"/>
    <n v="89"/>
    <n v="91"/>
    <n v="87"/>
    <n v="96"/>
    <n v="70"/>
    <n v="95"/>
    <n v="95"/>
    <n v="88"/>
    <n v="79"/>
    <n v="93"/>
    <n v="63"/>
    <n v="29"/>
    <n v="95"/>
    <n v="82"/>
    <n v="85"/>
    <n v="95"/>
    <n v="28"/>
    <n v="31"/>
    <n v="23"/>
    <n v="7"/>
    <n v="11"/>
    <n v="15"/>
    <n v="14"/>
    <n v="11"/>
  </r>
  <r>
    <s v="Neymar Jr"/>
    <x v="2"/>
    <s v="Brazil"/>
    <x v="2"/>
    <x v="2"/>
    <x v="2"/>
    <s v="LW"/>
    <n v="79"/>
    <n v="87"/>
    <n v="62"/>
    <n v="84"/>
    <n v="84"/>
    <n v="96"/>
    <n v="88"/>
    <n v="87"/>
    <n v="78"/>
    <n v="95"/>
    <n v="94"/>
    <n v="90"/>
    <n v="96"/>
    <n v="94"/>
    <n v="84"/>
    <n v="80"/>
    <n v="61"/>
    <n v="81"/>
    <n v="49"/>
    <n v="82"/>
    <n v="56"/>
    <n v="36"/>
    <n v="89"/>
    <n v="87"/>
    <n v="81"/>
    <n v="94"/>
    <n v="27"/>
    <n v="24"/>
    <n v="33"/>
    <n v="9"/>
    <n v="9"/>
    <n v="15"/>
    <n v="15"/>
    <n v="11"/>
  </r>
  <r>
    <s v="De Gea"/>
    <x v="3"/>
    <s v="Spain"/>
    <x v="3"/>
    <x v="3"/>
    <x v="3"/>
    <s v="GK"/>
    <n v="17"/>
    <n v="13"/>
    <n v="21"/>
    <n v="50"/>
    <n v="13"/>
    <n v="18"/>
    <n v="21"/>
    <n v="19"/>
    <n v="51"/>
    <n v="42"/>
    <n v="57"/>
    <n v="58"/>
    <n v="60"/>
    <n v="90"/>
    <n v="43"/>
    <n v="31"/>
    <n v="67"/>
    <n v="43"/>
    <n v="64"/>
    <n v="12"/>
    <n v="38"/>
    <n v="30"/>
    <n v="12"/>
    <n v="68"/>
    <n v="40"/>
    <n v="68"/>
    <n v="15"/>
    <n v="21"/>
    <n v="13"/>
    <n v="90"/>
    <n v="85"/>
    <n v="87"/>
    <n v="88"/>
    <n v="94"/>
  </r>
  <r>
    <s v="K. De Bruyne"/>
    <x v="3"/>
    <s v="Belgium"/>
    <x v="4"/>
    <x v="4"/>
    <x v="4"/>
    <s v="RCM"/>
    <n v="93"/>
    <n v="82"/>
    <n v="55"/>
    <n v="92"/>
    <n v="82"/>
    <n v="86"/>
    <n v="85"/>
    <n v="83"/>
    <n v="91"/>
    <n v="91"/>
    <n v="78"/>
    <n v="76"/>
    <n v="79"/>
    <n v="91"/>
    <n v="77"/>
    <n v="91"/>
    <n v="63"/>
    <n v="90"/>
    <n v="75"/>
    <n v="91"/>
    <n v="76"/>
    <n v="61"/>
    <n v="87"/>
    <n v="94"/>
    <n v="79"/>
    <n v="88"/>
    <n v="68"/>
    <n v="58"/>
    <n v="51"/>
    <n v="15"/>
    <n v="13"/>
    <n v="5"/>
    <n v="10"/>
    <n v="13"/>
  </r>
  <r>
    <s v="E. Hazard"/>
    <x v="3"/>
    <s v="Belgium"/>
    <x v="5"/>
    <x v="5"/>
    <x v="5"/>
    <s v="LF"/>
    <n v="81"/>
    <n v="84"/>
    <n v="61"/>
    <n v="89"/>
    <n v="80"/>
    <n v="95"/>
    <n v="83"/>
    <n v="79"/>
    <n v="83"/>
    <n v="94"/>
    <n v="94"/>
    <n v="88"/>
    <n v="95"/>
    <n v="90"/>
    <n v="94"/>
    <n v="82"/>
    <n v="56"/>
    <n v="83"/>
    <n v="66"/>
    <n v="80"/>
    <n v="54"/>
    <n v="41"/>
    <n v="87"/>
    <n v="89"/>
    <n v="86"/>
    <n v="91"/>
    <n v="34"/>
    <n v="27"/>
    <n v="22"/>
    <n v="11"/>
    <n v="12"/>
    <n v="6"/>
    <n v="8"/>
    <n v="8"/>
  </r>
  <r>
    <s v="L. Modri?"/>
    <x v="4"/>
    <s v="Croatia"/>
    <x v="6"/>
    <x v="6"/>
    <x v="6"/>
    <s v="RCM"/>
    <n v="86"/>
    <n v="72"/>
    <n v="55"/>
    <n v="93"/>
    <n v="76"/>
    <n v="90"/>
    <n v="85"/>
    <n v="78"/>
    <n v="88"/>
    <n v="93"/>
    <n v="80"/>
    <n v="72"/>
    <n v="93"/>
    <n v="90"/>
    <n v="94"/>
    <n v="79"/>
    <n v="68"/>
    <n v="89"/>
    <n v="58"/>
    <n v="82"/>
    <n v="62"/>
    <n v="83"/>
    <n v="79"/>
    <n v="92"/>
    <n v="82"/>
    <n v="84"/>
    <n v="60"/>
    <n v="76"/>
    <n v="73"/>
    <n v="13"/>
    <n v="9"/>
    <n v="7"/>
    <n v="14"/>
    <n v="9"/>
  </r>
  <r>
    <s v="L. Suárez"/>
    <x v="0"/>
    <s v="Uruguay"/>
    <x v="0"/>
    <x v="7"/>
    <x v="7"/>
    <s v="RS"/>
    <n v="77"/>
    <n v="93"/>
    <n v="77"/>
    <n v="82"/>
    <n v="88"/>
    <n v="87"/>
    <n v="86"/>
    <n v="84"/>
    <n v="64"/>
    <n v="90"/>
    <n v="86"/>
    <n v="75"/>
    <n v="82"/>
    <n v="92"/>
    <n v="83"/>
    <n v="86"/>
    <n v="69"/>
    <n v="90"/>
    <n v="83"/>
    <n v="85"/>
    <n v="87"/>
    <n v="41"/>
    <n v="92"/>
    <n v="84"/>
    <n v="85"/>
    <n v="85"/>
    <n v="62"/>
    <n v="45"/>
    <n v="38"/>
    <n v="27"/>
    <n v="25"/>
    <n v="31"/>
    <n v="33"/>
    <n v="37"/>
  </r>
  <r>
    <s v="Sergio Ramos"/>
    <x v="4"/>
    <s v="Spain"/>
    <x v="6"/>
    <x v="8"/>
    <x v="8"/>
    <s v="RCB"/>
    <n v="66"/>
    <n v="60"/>
    <n v="91"/>
    <n v="78"/>
    <n v="66"/>
    <n v="63"/>
    <n v="74"/>
    <n v="72"/>
    <n v="77"/>
    <n v="84"/>
    <n v="76"/>
    <n v="75"/>
    <n v="78"/>
    <n v="85"/>
    <n v="66"/>
    <n v="79"/>
    <n v="93"/>
    <n v="84"/>
    <n v="83"/>
    <n v="59"/>
    <n v="88"/>
    <n v="90"/>
    <n v="60"/>
    <n v="63"/>
    <n v="75"/>
    <n v="82"/>
    <n v="87"/>
    <n v="92"/>
    <n v="91"/>
    <n v="11"/>
    <n v="8"/>
    <n v="9"/>
    <n v="7"/>
    <n v="11"/>
  </r>
  <r>
    <s v="J. Oblak"/>
    <x v="5"/>
    <s v="Slovenia"/>
    <x v="7"/>
    <x v="9"/>
    <x v="9"/>
    <s v="GK"/>
    <n v="13"/>
    <n v="11"/>
    <n v="15"/>
    <n v="29"/>
    <n v="13"/>
    <n v="12"/>
    <n v="13"/>
    <n v="14"/>
    <n v="26"/>
    <n v="16"/>
    <n v="43"/>
    <n v="60"/>
    <n v="67"/>
    <n v="86"/>
    <n v="49"/>
    <n v="22"/>
    <n v="76"/>
    <n v="41"/>
    <n v="78"/>
    <n v="12"/>
    <n v="34"/>
    <n v="19"/>
    <n v="11"/>
    <n v="70"/>
    <n v="11"/>
    <n v="70"/>
    <n v="27"/>
    <n v="12"/>
    <n v="18"/>
    <n v="86"/>
    <n v="92"/>
    <n v="78"/>
    <n v="88"/>
    <n v="89"/>
  </r>
  <r>
    <s v="R. Lewandowski"/>
    <x v="6"/>
    <s v="Poland"/>
    <x v="8"/>
    <x v="1"/>
    <x v="10"/>
    <s v="ST"/>
    <n v="62"/>
    <n v="91"/>
    <n v="85"/>
    <n v="83"/>
    <n v="89"/>
    <n v="85"/>
    <n v="77"/>
    <n v="86"/>
    <n v="65"/>
    <n v="89"/>
    <n v="77"/>
    <n v="78"/>
    <n v="78"/>
    <n v="90"/>
    <n v="78"/>
    <n v="88"/>
    <n v="84"/>
    <n v="78"/>
    <n v="84"/>
    <n v="84"/>
    <n v="80"/>
    <n v="39"/>
    <n v="91"/>
    <n v="77"/>
    <n v="88"/>
    <n v="86"/>
    <n v="34"/>
    <n v="42"/>
    <n v="19"/>
    <n v="15"/>
    <n v="6"/>
    <n v="12"/>
    <n v="8"/>
    <n v="10"/>
  </r>
  <r>
    <s v="T. Kroos"/>
    <x v="7"/>
    <s v="Germany"/>
    <x v="6"/>
    <x v="10"/>
    <x v="4"/>
    <s v="LCM"/>
    <n v="88"/>
    <n v="76"/>
    <n v="54"/>
    <n v="92"/>
    <n v="82"/>
    <n v="81"/>
    <n v="86"/>
    <n v="84"/>
    <n v="93"/>
    <n v="90"/>
    <n v="64"/>
    <n v="62"/>
    <n v="70"/>
    <n v="89"/>
    <n v="71"/>
    <n v="87"/>
    <n v="30"/>
    <n v="75"/>
    <n v="73"/>
    <n v="92"/>
    <n v="60"/>
    <n v="82"/>
    <n v="79"/>
    <n v="86"/>
    <n v="73"/>
    <n v="85"/>
    <n v="72"/>
    <n v="79"/>
    <n v="69"/>
    <n v="10"/>
    <n v="11"/>
    <n v="13"/>
    <n v="7"/>
    <n v="10"/>
  </r>
  <r>
    <s v="D. Godín"/>
    <x v="4"/>
    <s v="Uruguay"/>
    <x v="7"/>
    <x v="11"/>
    <x v="11"/>
    <s v="CB"/>
    <n v="55"/>
    <n v="42"/>
    <n v="92"/>
    <n v="79"/>
    <n v="47"/>
    <n v="53"/>
    <n v="49"/>
    <n v="51"/>
    <n v="70"/>
    <n v="76"/>
    <n v="68"/>
    <n v="68"/>
    <n v="58"/>
    <n v="85"/>
    <n v="54"/>
    <n v="67"/>
    <n v="91"/>
    <n v="66"/>
    <n v="88"/>
    <n v="43"/>
    <n v="89"/>
    <n v="88"/>
    <n v="48"/>
    <n v="52"/>
    <n v="50"/>
    <n v="82"/>
    <n v="90"/>
    <n v="89"/>
    <n v="89"/>
    <n v="6"/>
    <n v="8"/>
    <n v="15"/>
    <n v="5"/>
    <n v="15"/>
  </r>
  <r>
    <s v="David Silva"/>
    <x v="4"/>
    <s v="Spain"/>
    <x v="4"/>
    <x v="12"/>
    <x v="12"/>
    <s v="LCM"/>
    <n v="84"/>
    <n v="76"/>
    <n v="54"/>
    <n v="93"/>
    <n v="82"/>
    <n v="89"/>
    <n v="82"/>
    <n v="77"/>
    <n v="87"/>
    <n v="94"/>
    <n v="70"/>
    <n v="64"/>
    <n v="92"/>
    <n v="90"/>
    <n v="90"/>
    <n v="72"/>
    <n v="64"/>
    <n v="78"/>
    <n v="52"/>
    <n v="75"/>
    <n v="57"/>
    <n v="50"/>
    <n v="89"/>
    <n v="92"/>
    <n v="75"/>
    <n v="93"/>
    <n v="59"/>
    <n v="53"/>
    <n v="29"/>
    <n v="6"/>
    <n v="15"/>
    <n v="7"/>
    <n v="6"/>
    <n v="12"/>
  </r>
  <r>
    <s v="N.Kanté"/>
    <x v="3"/>
    <s v="France"/>
    <x v="5"/>
    <x v="13"/>
    <x v="13"/>
    <s v="LDM"/>
    <n v="68"/>
    <n v="65"/>
    <n v="54"/>
    <n v="86"/>
    <n v="56"/>
    <n v="79"/>
    <n v="49"/>
    <n v="49"/>
    <n v="81"/>
    <n v="80"/>
    <n v="82"/>
    <n v="78"/>
    <n v="82"/>
    <n v="93"/>
    <n v="92"/>
    <n v="71"/>
    <n v="77"/>
    <n v="96"/>
    <n v="76"/>
    <n v="69"/>
    <n v="90"/>
    <n v="92"/>
    <n v="71"/>
    <n v="79"/>
    <n v="54"/>
    <n v="85"/>
    <n v="90"/>
    <n v="91"/>
    <n v="85"/>
    <n v="15"/>
    <n v="12"/>
    <n v="10"/>
    <n v="7"/>
    <n v="10"/>
  </r>
  <r>
    <s v="P. Dybala"/>
    <x v="8"/>
    <s v="Argentina"/>
    <x v="1"/>
    <x v="14"/>
    <x v="10"/>
    <s v="LF"/>
    <n v="82"/>
    <n v="84"/>
    <n v="68"/>
    <n v="87"/>
    <n v="88"/>
    <n v="92"/>
    <n v="88"/>
    <n v="88"/>
    <n v="75"/>
    <n v="92"/>
    <n v="87"/>
    <n v="83"/>
    <n v="91"/>
    <n v="86"/>
    <n v="85"/>
    <n v="82"/>
    <n v="75"/>
    <n v="80"/>
    <n v="65"/>
    <n v="88"/>
    <n v="48"/>
    <n v="32"/>
    <n v="84"/>
    <n v="87"/>
    <n v="86"/>
    <n v="84"/>
    <n v="23"/>
    <n v="20"/>
    <n v="20"/>
    <n v="5"/>
    <n v="4"/>
    <n v="4"/>
    <n v="5"/>
    <n v="8"/>
  </r>
  <r>
    <s v="H. Kane"/>
    <x v="8"/>
    <s v="England"/>
    <x v="9"/>
    <x v="15"/>
    <x v="10"/>
    <s v="ST"/>
    <n v="75"/>
    <n v="94"/>
    <n v="85"/>
    <n v="80"/>
    <n v="84"/>
    <n v="80"/>
    <n v="78"/>
    <n v="68"/>
    <n v="82"/>
    <n v="84"/>
    <n v="68"/>
    <n v="72"/>
    <n v="71"/>
    <n v="91"/>
    <n v="71"/>
    <n v="88"/>
    <n v="78"/>
    <n v="89"/>
    <n v="84"/>
    <n v="85"/>
    <n v="76"/>
    <n v="35"/>
    <n v="93"/>
    <n v="80"/>
    <n v="90"/>
    <n v="89"/>
    <n v="56"/>
    <n v="36"/>
    <n v="38"/>
    <n v="8"/>
    <n v="10"/>
    <n v="11"/>
    <n v="14"/>
    <n v="11"/>
  </r>
  <r>
    <s v="A. Griezmann"/>
    <x v="3"/>
    <s v="France"/>
    <x v="7"/>
    <x v="16"/>
    <x v="14"/>
    <s v="CAM"/>
    <n v="82"/>
    <n v="90"/>
    <n v="84"/>
    <n v="83"/>
    <n v="87"/>
    <n v="88"/>
    <n v="84"/>
    <n v="78"/>
    <n v="76"/>
    <n v="90"/>
    <n v="88"/>
    <n v="85"/>
    <n v="90"/>
    <n v="90"/>
    <n v="80"/>
    <n v="80"/>
    <n v="90"/>
    <n v="83"/>
    <n v="62"/>
    <n v="82"/>
    <n v="69"/>
    <n v="35"/>
    <n v="91"/>
    <n v="83"/>
    <n v="79"/>
    <n v="87"/>
    <n v="59"/>
    <n v="47"/>
    <n v="48"/>
    <n v="14"/>
    <n v="8"/>
    <n v="14"/>
    <n v="13"/>
    <n v="14"/>
  </r>
  <r>
    <s v="M. ter Stegen"/>
    <x v="2"/>
    <s v="Germany"/>
    <x v="0"/>
    <x v="17"/>
    <x v="15"/>
    <s v="GK"/>
    <n v="15"/>
    <n v="14"/>
    <n v="11"/>
    <n v="36"/>
    <n v="14"/>
    <n v="17"/>
    <n v="18"/>
    <n v="12"/>
    <n v="42"/>
    <n v="18"/>
    <n v="38"/>
    <n v="50"/>
    <n v="37"/>
    <n v="85"/>
    <n v="43"/>
    <n v="22"/>
    <n v="79"/>
    <n v="35"/>
    <n v="79"/>
    <n v="10"/>
    <n v="43"/>
    <n v="22"/>
    <n v="11"/>
    <n v="69"/>
    <n v="25"/>
    <n v="69"/>
    <n v="25"/>
    <n v="13"/>
    <n v="10"/>
    <n v="87"/>
    <n v="85"/>
    <n v="88"/>
    <n v="85"/>
    <n v="90"/>
  </r>
  <r>
    <s v="T. Courtois"/>
    <x v="2"/>
    <s v="Belgium"/>
    <x v="6"/>
    <x v="18"/>
    <x v="15"/>
    <s v="GK"/>
    <n v="14"/>
    <n v="14"/>
    <n v="13"/>
    <n v="33"/>
    <n v="12"/>
    <n v="13"/>
    <n v="19"/>
    <n v="20"/>
    <n v="35"/>
    <n v="23"/>
    <n v="46"/>
    <n v="52"/>
    <n v="61"/>
    <n v="84"/>
    <n v="45"/>
    <n v="36"/>
    <n v="68"/>
    <n v="38"/>
    <n v="70"/>
    <n v="17"/>
    <n v="23"/>
    <n v="15"/>
    <n v="13"/>
    <n v="44"/>
    <n v="27"/>
    <n v="66"/>
    <n v="20"/>
    <n v="18"/>
    <n v="16"/>
    <n v="85"/>
    <n v="91"/>
    <n v="72"/>
    <n v="86"/>
    <n v="88"/>
  </r>
  <r>
    <s v="Sergio Busquets"/>
    <x v="6"/>
    <s v="Spain"/>
    <x v="0"/>
    <x v="19"/>
    <x v="16"/>
    <s v="CDM"/>
    <n v="62"/>
    <n v="67"/>
    <n v="68"/>
    <n v="89"/>
    <n v="44"/>
    <n v="80"/>
    <n v="66"/>
    <n v="68"/>
    <n v="82"/>
    <n v="88"/>
    <n v="50"/>
    <n v="52"/>
    <n v="66"/>
    <n v="87"/>
    <n v="52"/>
    <n v="61"/>
    <n v="66"/>
    <n v="86"/>
    <n v="77"/>
    <n v="54"/>
    <n v="85"/>
    <n v="87"/>
    <n v="77"/>
    <n v="87"/>
    <n v="60"/>
    <n v="90"/>
    <n v="90"/>
    <n v="86"/>
    <n v="80"/>
    <n v="5"/>
    <n v="8"/>
    <n v="13"/>
    <n v="9"/>
    <n v="13"/>
  </r>
  <r>
    <s v="E. Cavani"/>
    <x v="0"/>
    <s v="Uruguay"/>
    <x v="2"/>
    <x v="12"/>
    <x v="17"/>
    <s v="LS"/>
    <n v="70"/>
    <n v="89"/>
    <n v="89"/>
    <n v="78"/>
    <n v="90"/>
    <n v="80"/>
    <n v="77"/>
    <n v="76"/>
    <n v="52"/>
    <n v="82"/>
    <n v="75"/>
    <n v="76"/>
    <n v="77"/>
    <n v="91"/>
    <n v="59"/>
    <n v="87"/>
    <n v="88"/>
    <n v="92"/>
    <n v="78"/>
    <n v="79"/>
    <n v="84"/>
    <n v="48"/>
    <n v="93"/>
    <n v="77"/>
    <n v="85"/>
    <n v="82"/>
    <n v="52"/>
    <n v="45"/>
    <n v="39"/>
    <n v="12"/>
    <n v="5"/>
    <n v="13"/>
    <n v="13"/>
    <n v="10"/>
  </r>
  <r>
    <s v="M. Neuer"/>
    <x v="4"/>
    <s v="Germany"/>
    <x v="8"/>
    <x v="20"/>
    <x v="18"/>
    <s v="GK"/>
    <n v="15"/>
    <n v="13"/>
    <n v="25"/>
    <n v="55"/>
    <n v="11"/>
    <n v="30"/>
    <n v="14"/>
    <n v="11"/>
    <n v="59"/>
    <n v="48"/>
    <n v="54"/>
    <n v="60"/>
    <n v="51"/>
    <n v="84"/>
    <n v="35"/>
    <n v="25"/>
    <n v="77"/>
    <n v="43"/>
    <n v="80"/>
    <n v="16"/>
    <n v="29"/>
    <n v="30"/>
    <n v="12"/>
    <n v="70"/>
    <n v="47"/>
    <n v="70"/>
    <n v="17"/>
    <n v="10"/>
    <n v="11"/>
    <n v="90"/>
    <n v="86"/>
    <n v="91"/>
    <n v="87"/>
    <n v="87"/>
  </r>
  <r>
    <s v="S. Agüero"/>
    <x v="9"/>
    <s v="Argentina"/>
    <x v="4"/>
    <x v="21"/>
    <x v="19"/>
    <s v="ST"/>
    <n v="70"/>
    <n v="93"/>
    <n v="77"/>
    <n v="81"/>
    <n v="85"/>
    <n v="89"/>
    <n v="82"/>
    <n v="73"/>
    <n v="64"/>
    <n v="89"/>
    <n v="88"/>
    <n v="80"/>
    <n v="86"/>
    <n v="90"/>
    <n v="91"/>
    <n v="88"/>
    <n v="81"/>
    <n v="76"/>
    <n v="73"/>
    <n v="83"/>
    <n v="65"/>
    <n v="24"/>
    <n v="92"/>
    <n v="83"/>
    <n v="83"/>
    <n v="90"/>
    <n v="30"/>
    <n v="20"/>
    <n v="12"/>
    <n v="13"/>
    <n v="15"/>
    <n v="6"/>
    <n v="11"/>
    <n v="14"/>
  </r>
  <r>
    <s v="G. Chiellini"/>
    <x v="1"/>
    <s v="Italy"/>
    <x v="1"/>
    <x v="22"/>
    <x v="20"/>
    <s v="LCB"/>
    <n v="58"/>
    <n v="33"/>
    <n v="83"/>
    <n v="59"/>
    <n v="45"/>
    <n v="58"/>
    <n v="60"/>
    <n v="31"/>
    <n v="59"/>
    <n v="57"/>
    <n v="63"/>
    <n v="75"/>
    <n v="54"/>
    <n v="82"/>
    <n v="55"/>
    <n v="78"/>
    <n v="89"/>
    <n v="65"/>
    <n v="89"/>
    <n v="49"/>
    <n v="92"/>
    <n v="88"/>
    <n v="28"/>
    <n v="50"/>
    <n v="50"/>
    <n v="84"/>
    <n v="93"/>
    <n v="93"/>
    <n v="90"/>
    <n v="3"/>
    <n v="3"/>
    <n v="2"/>
    <n v="4"/>
    <n v="3"/>
  </r>
  <r>
    <s v="K. Mbappé"/>
    <x v="10"/>
    <s v="France"/>
    <x v="2"/>
    <x v="23"/>
    <x v="21"/>
    <s v="RM"/>
    <n v="77"/>
    <n v="88"/>
    <n v="77"/>
    <n v="82"/>
    <n v="78"/>
    <n v="90"/>
    <n v="77"/>
    <n v="63"/>
    <n v="73"/>
    <n v="91"/>
    <n v="96"/>
    <n v="96"/>
    <n v="92"/>
    <n v="87"/>
    <n v="83"/>
    <n v="79"/>
    <n v="75"/>
    <n v="83"/>
    <n v="71"/>
    <n v="78"/>
    <n v="62"/>
    <n v="38"/>
    <n v="88"/>
    <n v="82"/>
    <n v="70"/>
    <n v="86"/>
    <n v="34"/>
    <n v="34"/>
    <n v="32"/>
    <n v="13"/>
    <n v="5"/>
    <n v="7"/>
    <n v="11"/>
    <n v="6"/>
  </r>
  <r>
    <s v="M. Salah"/>
    <x v="2"/>
    <s v="Egypt"/>
    <x v="10"/>
    <x v="24"/>
    <x v="22"/>
    <s v="RM"/>
    <n v="78"/>
    <n v="90"/>
    <n v="59"/>
    <n v="82"/>
    <n v="73"/>
    <n v="89"/>
    <n v="83"/>
    <n v="60"/>
    <n v="72"/>
    <n v="88"/>
    <n v="94"/>
    <n v="91"/>
    <n v="91"/>
    <n v="91"/>
    <n v="88"/>
    <n v="77"/>
    <n v="68"/>
    <n v="84"/>
    <n v="70"/>
    <n v="83"/>
    <n v="63"/>
    <n v="55"/>
    <n v="90"/>
    <n v="82"/>
    <n v="61"/>
    <n v="91"/>
    <n v="38"/>
    <n v="43"/>
    <n v="41"/>
    <n v="14"/>
    <n v="14"/>
    <n v="9"/>
    <n v="11"/>
    <n v="14"/>
  </r>
  <r>
    <s v="Casemiro"/>
    <x v="2"/>
    <s v="Brazil"/>
    <x v="6"/>
    <x v="25"/>
    <x v="12"/>
    <s v="CDM"/>
    <n v="52"/>
    <n v="59"/>
    <n v="76"/>
    <n v="85"/>
    <n v="53"/>
    <n v="69"/>
    <n v="59"/>
    <n v="74"/>
    <n v="82"/>
    <n v="78"/>
    <n v="59"/>
    <n v="65"/>
    <n v="62"/>
    <n v="84"/>
    <n v="66"/>
    <n v="86"/>
    <n v="88"/>
    <n v="87"/>
    <n v="89"/>
    <n v="79"/>
    <n v="87"/>
    <n v="87"/>
    <n v="69"/>
    <n v="77"/>
    <n v="66"/>
    <n v="84"/>
    <n v="88"/>
    <n v="90"/>
    <n v="87"/>
    <n v="13"/>
    <n v="14"/>
    <n v="16"/>
    <n v="12"/>
    <n v="12"/>
  </r>
  <r>
    <s v="J. Rodríguez"/>
    <x v="2"/>
    <s v="Colombia"/>
    <x v="8"/>
    <x v="24"/>
    <x v="16"/>
    <s v="LAM"/>
    <n v="90"/>
    <n v="83"/>
    <n v="62"/>
    <n v="89"/>
    <n v="90"/>
    <n v="85"/>
    <n v="89"/>
    <n v="86"/>
    <n v="83"/>
    <n v="90"/>
    <n v="73"/>
    <n v="67"/>
    <n v="83"/>
    <n v="85"/>
    <n v="76"/>
    <n v="86"/>
    <n v="54"/>
    <n v="70"/>
    <n v="68"/>
    <n v="92"/>
    <n v="64"/>
    <n v="55"/>
    <n v="80"/>
    <n v="89"/>
    <n v="81"/>
    <n v="87"/>
    <n v="52"/>
    <n v="41"/>
    <n v="44"/>
    <n v="15"/>
    <n v="15"/>
    <n v="15"/>
    <n v="5"/>
    <n v="14"/>
  </r>
  <r>
    <s v="L. Insigne"/>
    <x v="3"/>
    <s v="Italy"/>
    <x v="11"/>
    <x v="26"/>
    <x v="23"/>
    <s v="LW"/>
    <n v="86"/>
    <n v="77"/>
    <n v="56"/>
    <n v="85"/>
    <n v="74"/>
    <n v="90"/>
    <n v="87"/>
    <n v="77"/>
    <n v="78"/>
    <n v="93"/>
    <n v="94"/>
    <n v="86"/>
    <n v="94"/>
    <n v="83"/>
    <n v="93"/>
    <n v="75"/>
    <n v="53"/>
    <n v="75"/>
    <n v="44"/>
    <n v="84"/>
    <n v="34"/>
    <n v="26"/>
    <n v="83"/>
    <n v="87"/>
    <n v="61"/>
    <n v="83"/>
    <n v="51"/>
    <n v="24"/>
    <n v="22"/>
    <n v="8"/>
    <n v="4"/>
    <n v="14"/>
    <n v="9"/>
    <n v="10"/>
  </r>
  <r>
    <s v="Isco"/>
    <x v="2"/>
    <s v="Spain"/>
    <x v="6"/>
    <x v="27"/>
    <x v="16"/>
    <s v="LW"/>
    <n v="75"/>
    <n v="79"/>
    <n v="55"/>
    <n v="89"/>
    <n v="65"/>
    <n v="94"/>
    <n v="88"/>
    <n v="76"/>
    <n v="83"/>
    <n v="95"/>
    <n v="75"/>
    <n v="69"/>
    <n v="87"/>
    <n v="77"/>
    <n v="90"/>
    <n v="69"/>
    <n v="64"/>
    <n v="70"/>
    <n v="59"/>
    <n v="87"/>
    <n v="58"/>
    <n v="64"/>
    <n v="78"/>
    <n v="89"/>
    <n v="76"/>
    <n v="86"/>
    <n v="60"/>
    <n v="64"/>
    <n v="51"/>
    <n v="10"/>
    <n v="8"/>
    <n v="12"/>
    <n v="15"/>
    <n v="6"/>
  </r>
  <r>
    <s v="C. Eriksen"/>
    <x v="2"/>
    <s v="Denmark"/>
    <x v="9"/>
    <x v="27"/>
    <x v="10"/>
    <s v="CAM"/>
    <n v="88"/>
    <n v="80"/>
    <n v="52"/>
    <n v="91"/>
    <n v="77"/>
    <n v="84"/>
    <n v="86"/>
    <n v="87"/>
    <n v="88"/>
    <n v="91"/>
    <n v="75"/>
    <n v="73"/>
    <n v="79"/>
    <n v="88"/>
    <n v="81"/>
    <n v="84"/>
    <n v="50"/>
    <n v="92"/>
    <n v="58"/>
    <n v="89"/>
    <n v="46"/>
    <n v="56"/>
    <n v="83"/>
    <n v="91"/>
    <n v="67"/>
    <n v="88"/>
    <n v="59"/>
    <n v="57"/>
    <n v="22"/>
    <n v="9"/>
    <n v="14"/>
    <n v="7"/>
    <n v="7"/>
    <n v="6"/>
  </r>
  <r>
    <s v="Coutinho"/>
    <x v="2"/>
    <s v="Brazil"/>
    <x v="0"/>
    <x v="24"/>
    <x v="5"/>
    <s v="LW"/>
    <n v="79"/>
    <n v="79"/>
    <n v="48"/>
    <n v="88"/>
    <n v="75"/>
    <n v="91"/>
    <n v="91"/>
    <n v="86"/>
    <n v="83"/>
    <n v="92"/>
    <n v="89"/>
    <n v="75"/>
    <n v="92"/>
    <n v="83"/>
    <n v="93"/>
    <n v="83"/>
    <n v="59"/>
    <n v="79"/>
    <n v="61"/>
    <n v="93"/>
    <n v="59"/>
    <n v="49"/>
    <n v="84"/>
    <n v="90"/>
    <n v="70"/>
    <n v="85"/>
    <n v="55"/>
    <n v="54"/>
    <n v="47"/>
    <n v="12"/>
    <n v="7"/>
    <n v="9"/>
    <n v="14"/>
    <n v="6"/>
  </r>
  <r>
    <s v="P. Aubameyang"/>
    <x v="6"/>
    <s v="Gabon"/>
    <x v="12"/>
    <x v="28"/>
    <x v="24"/>
    <s v="LM"/>
    <n v="77"/>
    <n v="88"/>
    <n v="79"/>
    <n v="77"/>
    <n v="86"/>
    <n v="79"/>
    <n v="80"/>
    <n v="74"/>
    <n v="64"/>
    <n v="82"/>
    <n v="93"/>
    <n v="95"/>
    <n v="76"/>
    <n v="87"/>
    <n v="70"/>
    <n v="82"/>
    <n v="79"/>
    <n v="76"/>
    <n v="76"/>
    <n v="79"/>
    <n v="43"/>
    <n v="48"/>
    <n v="90"/>
    <n v="77"/>
    <n v="76"/>
    <n v="86"/>
    <n v="27"/>
    <n v="25"/>
    <n v="36"/>
    <n v="6"/>
    <n v="9"/>
    <n v="15"/>
    <n v="9"/>
    <n v="9"/>
  </r>
  <r>
    <s v="M. Hummels"/>
    <x v="6"/>
    <s v="Germany"/>
    <x v="8"/>
    <x v="29"/>
    <x v="25"/>
    <s v="LCB"/>
    <n v="64"/>
    <n v="55"/>
    <n v="87"/>
    <n v="81"/>
    <n v="60"/>
    <n v="68"/>
    <n v="65"/>
    <n v="53"/>
    <n v="85"/>
    <n v="81"/>
    <n v="53"/>
    <n v="64"/>
    <n v="63"/>
    <n v="87"/>
    <n v="60"/>
    <n v="71"/>
    <n v="68"/>
    <n v="66"/>
    <n v="84"/>
    <n v="51"/>
    <n v="69"/>
    <n v="92"/>
    <n v="56"/>
    <n v="79"/>
    <n v="68"/>
    <n v="91"/>
    <n v="88"/>
    <n v="90"/>
    <n v="88"/>
    <n v="15"/>
    <n v="6"/>
    <n v="10"/>
    <n v="5"/>
    <n v="6"/>
  </r>
  <r>
    <s v="Marcelo"/>
    <x v="9"/>
    <s v="Brazil"/>
    <x v="6"/>
    <x v="30"/>
    <x v="12"/>
    <s v="LB"/>
    <n v="90"/>
    <n v="70"/>
    <n v="75"/>
    <n v="84"/>
    <n v="54"/>
    <n v="90"/>
    <n v="85"/>
    <n v="67"/>
    <n v="76"/>
    <n v="92"/>
    <n v="83"/>
    <n v="82"/>
    <n v="86"/>
    <n v="88"/>
    <n v="86"/>
    <n v="83"/>
    <n v="76"/>
    <n v="91"/>
    <n v="78"/>
    <n v="70"/>
    <n v="84"/>
    <n v="85"/>
    <n v="85"/>
    <n v="82"/>
    <n v="59"/>
    <n v="86"/>
    <n v="71"/>
    <n v="85"/>
    <n v="86"/>
    <n v="12"/>
    <n v="5"/>
    <n v="5"/>
    <n v="5"/>
    <n v="9"/>
  </r>
  <r>
    <s v="G. Bale"/>
    <x v="7"/>
    <s v="Wales"/>
    <x v="6"/>
    <x v="12"/>
    <x v="4"/>
    <s v="ST"/>
    <n v="87"/>
    <n v="86"/>
    <n v="84"/>
    <n v="85"/>
    <n v="85"/>
    <n v="87"/>
    <n v="90"/>
    <n v="87"/>
    <n v="80"/>
    <n v="85"/>
    <n v="94"/>
    <n v="95"/>
    <n v="82"/>
    <n v="85"/>
    <n v="65"/>
    <n v="92"/>
    <n v="87"/>
    <n v="75"/>
    <n v="80"/>
    <n v="91"/>
    <n v="65"/>
    <n v="59"/>
    <n v="85"/>
    <n v="79"/>
    <n v="76"/>
    <n v="86"/>
    <n v="54"/>
    <n v="55"/>
    <n v="52"/>
    <n v="15"/>
    <n v="15"/>
    <n v="11"/>
    <n v="5"/>
    <n v="6"/>
  </r>
  <r>
    <s v="H. Lloris"/>
    <x v="0"/>
    <s v="France"/>
    <x v="9"/>
    <x v="31"/>
    <x v="26"/>
    <s v="GK"/>
    <n v="13"/>
    <n v="10"/>
    <n v="10"/>
    <n v="50"/>
    <n v="11"/>
    <n v="10"/>
    <n v="11"/>
    <n v="10"/>
    <n v="50"/>
    <n v="34"/>
    <n v="65"/>
    <n v="62"/>
    <n v="55"/>
    <n v="85"/>
    <n v="54"/>
    <n v="23"/>
    <n v="74"/>
    <n v="41"/>
    <n v="43"/>
    <n v="14"/>
    <n v="31"/>
    <n v="27"/>
    <n v="10"/>
    <n v="30"/>
    <n v="40"/>
    <n v="65"/>
    <n v="29"/>
    <n v="10"/>
    <n v="18"/>
    <n v="88"/>
    <n v="84"/>
    <n v="68"/>
    <n v="83"/>
    <n v="92"/>
  </r>
  <r>
    <s v="G. Higuaín"/>
    <x v="9"/>
    <s v="Argentina"/>
    <x v="13"/>
    <x v="32"/>
    <x v="27"/>
    <s v="LS"/>
    <n v="68"/>
    <n v="92"/>
    <n v="80"/>
    <n v="75"/>
    <n v="90"/>
    <n v="84"/>
    <n v="74"/>
    <n v="62"/>
    <n v="59"/>
    <n v="85"/>
    <n v="73"/>
    <n v="73"/>
    <n v="75"/>
    <n v="86"/>
    <n v="69"/>
    <n v="86"/>
    <n v="79"/>
    <n v="70"/>
    <n v="85"/>
    <n v="80"/>
    <n v="50"/>
    <n v="20"/>
    <n v="92"/>
    <n v="74"/>
    <n v="70"/>
    <n v="86"/>
    <n v="35"/>
    <n v="22"/>
    <n v="18"/>
    <n v="5"/>
    <n v="12"/>
    <n v="7"/>
    <n v="5"/>
    <n v="10"/>
  </r>
  <r>
    <s v="Thiago Silva"/>
    <x v="1"/>
    <s v="Brazil"/>
    <x v="2"/>
    <x v="33"/>
    <x v="23"/>
    <s v="RCB"/>
    <n v="60"/>
    <n v="38"/>
    <n v="81"/>
    <n v="80"/>
    <n v="63"/>
    <n v="62"/>
    <n v="61"/>
    <n v="64"/>
    <n v="80"/>
    <n v="80"/>
    <n v="70"/>
    <n v="72"/>
    <n v="68"/>
    <n v="82"/>
    <n v="68"/>
    <n v="71"/>
    <n v="90"/>
    <n v="74"/>
    <n v="82"/>
    <n v="68"/>
    <n v="76"/>
    <n v="89"/>
    <n v="59"/>
    <n v="72"/>
    <n v="60"/>
    <n v="81"/>
    <n v="88"/>
    <n v="89"/>
    <n v="85"/>
    <n v="9"/>
    <n v="12"/>
    <n v="5"/>
    <n v="9"/>
    <n v="10"/>
  </r>
  <r>
    <s v="S. HandanoviÄ"/>
    <x v="1"/>
    <s v="Slovenia"/>
    <x v="14"/>
    <x v="34"/>
    <x v="28"/>
    <s v="GK"/>
    <n v="12"/>
    <n v="10"/>
    <n v="10"/>
    <n v="36"/>
    <n v="12"/>
    <n v="12"/>
    <n v="12"/>
    <n v="14"/>
    <n v="34"/>
    <n v="16"/>
    <n v="51"/>
    <n v="55"/>
    <n v="47"/>
    <n v="83"/>
    <n v="36"/>
    <n v="22"/>
    <n v="78"/>
    <n v="41"/>
    <n v="71"/>
    <n v="19"/>
    <n v="25"/>
    <n v="22"/>
    <n v="12"/>
    <n v="41"/>
    <n v="23"/>
    <n v="69"/>
    <n v="25"/>
    <n v="10"/>
    <n v="13"/>
    <n v="87"/>
    <n v="86"/>
    <n v="69"/>
    <n v="89"/>
    <n v="89"/>
  </r>
  <r>
    <s v="G. Buffon"/>
    <x v="11"/>
    <s v="Italy"/>
    <x v="2"/>
    <x v="35"/>
    <x v="29"/>
    <s v="GK"/>
    <n v="13"/>
    <n v="15"/>
    <n v="13"/>
    <n v="37"/>
    <n v="17"/>
    <n v="26"/>
    <n v="20"/>
    <n v="13"/>
    <n v="35"/>
    <n v="28"/>
    <n v="49"/>
    <n v="43"/>
    <n v="55"/>
    <n v="79"/>
    <n v="49"/>
    <n v="39"/>
    <n v="75"/>
    <n v="39"/>
    <n v="69"/>
    <n v="13"/>
    <n v="38"/>
    <n v="28"/>
    <n v="12"/>
    <n v="50"/>
    <n v="22"/>
    <n v="70"/>
    <n v="13"/>
    <n v="11"/>
    <n v="11"/>
    <n v="88"/>
    <n v="87"/>
    <n v="74"/>
    <n v="90"/>
    <n v="83"/>
  </r>
  <r>
    <s v="S. Umtiti"/>
    <x v="8"/>
    <s v="France"/>
    <x v="0"/>
    <x v="32"/>
    <x v="10"/>
    <s v="CB"/>
    <n v="69"/>
    <n v="51"/>
    <n v="79"/>
    <n v="81"/>
    <n v="70"/>
    <n v="69"/>
    <n v="72"/>
    <n v="62"/>
    <n v="73"/>
    <n v="77"/>
    <n v="71"/>
    <n v="73"/>
    <n v="68"/>
    <n v="82"/>
    <n v="66"/>
    <n v="83"/>
    <n v="89"/>
    <n v="78"/>
    <n v="84"/>
    <n v="74"/>
    <n v="81"/>
    <n v="87"/>
    <n v="58"/>
    <n v="58"/>
    <n v="61"/>
    <n v="82"/>
    <n v="90"/>
    <n v="89"/>
    <n v="86"/>
    <n v="15"/>
    <n v="10"/>
    <n v="14"/>
    <n v="12"/>
    <n v="15"/>
  </r>
  <r>
    <s v="M. Icardi"/>
    <x v="5"/>
    <s v="Argentina"/>
    <x v="14"/>
    <x v="21"/>
    <x v="18"/>
    <s v="ST"/>
    <n v="46"/>
    <n v="91"/>
    <n v="91"/>
    <n v="73"/>
    <n v="85"/>
    <n v="77"/>
    <n v="58"/>
    <n v="45"/>
    <n v="54"/>
    <n v="81"/>
    <n v="77"/>
    <n v="78"/>
    <n v="76"/>
    <n v="88"/>
    <n v="76"/>
    <n v="84"/>
    <n v="94"/>
    <n v="72"/>
    <n v="76"/>
    <n v="70"/>
    <n v="56"/>
    <n v="22"/>
    <n v="92"/>
    <n v="64"/>
    <n v="82"/>
    <n v="85"/>
    <n v="45"/>
    <n v="24"/>
    <n v="20"/>
    <n v="13"/>
    <n v="9"/>
    <n v="5"/>
    <n v="7"/>
    <n v="9"/>
  </r>
  <r>
    <s v="K. Koulibaly"/>
    <x v="3"/>
    <s v="Senegal"/>
    <x v="11"/>
    <x v="8"/>
    <x v="30"/>
    <s v="LCB"/>
    <n v="30"/>
    <n v="19"/>
    <n v="81"/>
    <n v="66"/>
    <n v="14"/>
    <n v="66"/>
    <n v="28"/>
    <n v="28"/>
    <n v="56"/>
    <n v="60"/>
    <n v="68"/>
    <n v="75"/>
    <n v="50"/>
    <n v="80"/>
    <n v="40"/>
    <n v="55"/>
    <n v="81"/>
    <n v="71"/>
    <n v="94"/>
    <n v="15"/>
    <n v="87"/>
    <n v="88"/>
    <n v="24"/>
    <n v="43"/>
    <n v="33"/>
    <n v="78"/>
    <n v="91"/>
    <n v="88"/>
    <n v="86"/>
    <n v="7"/>
    <n v="11"/>
    <n v="7"/>
    <n v="13"/>
    <n v="5"/>
  </r>
  <r>
    <s v="P. Pogba"/>
    <x v="5"/>
    <s v="France"/>
    <x v="3"/>
    <x v="36"/>
    <x v="31"/>
    <s v="RDM"/>
    <n v="80"/>
    <n v="73"/>
    <n v="73"/>
    <n v="86"/>
    <n v="85"/>
    <n v="87"/>
    <n v="84"/>
    <n v="82"/>
    <n v="90"/>
    <n v="90"/>
    <n v="71"/>
    <n v="79"/>
    <n v="74"/>
    <n v="81"/>
    <n v="64"/>
    <n v="90"/>
    <n v="83"/>
    <n v="88"/>
    <n v="89"/>
    <n v="81"/>
    <n v="78"/>
    <n v="66"/>
    <n v="81"/>
    <n v="87"/>
    <n v="81"/>
    <n v="87"/>
    <n v="66"/>
    <n v="70"/>
    <n v="68"/>
    <n v="5"/>
    <n v="6"/>
    <n v="2"/>
    <n v="4"/>
    <n v="3"/>
  </r>
  <r>
    <s v="K. Navas"/>
    <x v="0"/>
    <s v="Costa Rica"/>
    <x v="6"/>
    <x v="37"/>
    <x v="32"/>
    <s v="GK"/>
    <n v="11"/>
    <n v="15"/>
    <n v="11"/>
    <n v="30"/>
    <n v="11"/>
    <n v="16"/>
    <n v="11"/>
    <n v="15"/>
    <n v="37"/>
    <n v="19"/>
    <n v="54"/>
    <n v="53"/>
    <n v="60"/>
    <n v="84"/>
    <n v="61"/>
    <n v="21"/>
    <n v="74"/>
    <n v="39"/>
    <n v="75"/>
    <n v="13"/>
    <n v="32"/>
    <n v="20"/>
    <n v="16"/>
    <n v="68"/>
    <n v="25"/>
    <n v="67"/>
    <n v="28"/>
    <n v="14"/>
    <n v="14"/>
    <n v="90"/>
    <n v="81"/>
    <n v="75"/>
    <n v="82"/>
    <n v="90"/>
  </r>
  <r>
    <s v="R. Lukaku"/>
    <x v="5"/>
    <s v="Belgium"/>
    <x v="3"/>
    <x v="38"/>
    <x v="33"/>
    <s v="ST"/>
    <n v="78"/>
    <n v="87"/>
    <n v="86"/>
    <n v="77"/>
    <n v="79"/>
    <n v="80"/>
    <n v="74"/>
    <n v="66"/>
    <n v="73"/>
    <n v="72"/>
    <n v="77"/>
    <n v="90"/>
    <n v="60"/>
    <n v="86"/>
    <n v="46"/>
    <n v="88"/>
    <n v="71"/>
    <n v="84"/>
    <n v="94"/>
    <n v="74"/>
    <n v="75"/>
    <n v="27"/>
    <n v="89"/>
    <n v="76"/>
    <n v="78"/>
    <n v="83"/>
    <n v="30"/>
    <n v="30"/>
    <n v="30"/>
    <n v="8"/>
    <n v="15"/>
    <n v="14"/>
    <n v="7"/>
    <n v="10"/>
  </r>
  <r>
    <s v="C. Immobile"/>
    <x v="7"/>
    <s v="Italy"/>
    <x v="15"/>
    <x v="39"/>
    <x v="30"/>
    <s v="ST"/>
    <n v="55"/>
    <n v="90"/>
    <n v="81"/>
    <n v="74"/>
    <n v="87"/>
    <n v="83"/>
    <n v="70"/>
    <n v="51"/>
    <n v="49"/>
    <n v="83"/>
    <n v="78"/>
    <n v="85"/>
    <n v="77"/>
    <n v="87"/>
    <n v="63"/>
    <n v="86"/>
    <n v="77"/>
    <n v="80"/>
    <n v="76"/>
    <n v="80"/>
    <n v="77"/>
    <n v="40"/>
    <n v="91"/>
    <n v="65"/>
    <n v="78"/>
    <n v="81"/>
    <n v="34"/>
    <n v="33"/>
    <n v="32"/>
    <n v="6"/>
    <n v="8"/>
    <n v="15"/>
    <n v="12"/>
    <n v="6"/>
  </r>
  <r>
    <s v="Jordi Alba"/>
    <x v="6"/>
    <s v="Spain"/>
    <x v="0"/>
    <x v="20"/>
    <x v="34"/>
    <s v="LB"/>
    <n v="87"/>
    <n v="73"/>
    <n v="70"/>
    <n v="84"/>
    <n v="60"/>
    <n v="80"/>
    <n v="80"/>
    <n v="63"/>
    <n v="74"/>
    <n v="84"/>
    <n v="93"/>
    <n v="93"/>
    <n v="90"/>
    <n v="83"/>
    <n v="85"/>
    <n v="64"/>
    <n v="81"/>
    <n v="91"/>
    <n v="61"/>
    <n v="66"/>
    <n v="75"/>
    <n v="84"/>
    <n v="79"/>
    <n v="70"/>
    <n v="59"/>
    <n v="79"/>
    <n v="72"/>
    <n v="84"/>
    <n v="85"/>
    <n v="13"/>
    <n v="15"/>
    <n v="13"/>
    <n v="6"/>
    <n v="13"/>
  </r>
  <r>
    <s v="D. Mertens"/>
    <x v="0"/>
    <s v="Belgium"/>
    <x v="11"/>
    <x v="40"/>
    <x v="35"/>
    <s v="RF"/>
    <n v="77"/>
    <n v="86"/>
    <n v="35"/>
    <n v="82"/>
    <n v="70"/>
    <n v="91"/>
    <n v="82"/>
    <n v="79"/>
    <n v="74"/>
    <n v="89"/>
    <n v="93"/>
    <n v="85"/>
    <n v="94"/>
    <n v="88"/>
    <n v="92"/>
    <n v="80"/>
    <n v="60"/>
    <n v="75"/>
    <n v="42"/>
    <n v="81"/>
    <n v="59"/>
    <n v="36"/>
    <n v="87"/>
    <n v="83"/>
    <n v="79"/>
    <n v="81"/>
    <n v="25"/>
    <n v="40"/>
    <n v="40"/>
    <n v="7"/>
    <n v="10"/>
    <n v="8"/>
    <n v="10"/>
    <n v="4"/>
  </r>
  <r>
    <s v="J. Vertonghen"/>
    <x v="0"/>
    <s v="Belgium"/>
    <x v="9"/>
    <x v="41"/>
    <x v="36"/>
    <s v="LCB"/>
    <n v="68"/>
    <n v="56"/>
    <n v="80"/>
    <n v="79"/>
    <n v="52"/>
    <n v="71"/>
    <n v="58"/>
    <n v="73"/>
    <n v="74"/>
    <n v="76"/>
    <n v="61"/>
    <n v="65"/>
    <n v="61"/>
    <n v="84"/>
    <n v="60"/>
    <n v="80"/>
    <n v="85"/>
    <n v="75"/>
    <n v="79"/>
    <n v="66"/>
    <n v="84"/>
    <n v="89"/>
    <n v="60"/>
    <n v="68"/>
    <n v="66"/>
    <n v="83"/>
    <n v="90"/>
    <n v="87"/>
    <n v="88"/>
    <n v="6"/>
    <n v="10"/>
    <n v="9"/>
    <n v="12"/>
    <n v="7"/>
  </r>
  <r>
    <s v="M. Hamšík"/>
    <x v="9"/>
    <s v="Slovakia"/>
    <x v="11"/>
    <x v="42"/>
    <x v="11"/>
    <s v="LCM"/>
    <n v="78"/>
    <n v="79"/>
    <n v="74"/>
    <n v="88"/>
    <n v="79"/>
    <n v="86"/>
    <n v="80"/>
    <n v="72"/>
    <n v="83"/>
    <n v="87"/>
    <n v="69"/>
    <n v="68"/>
    <n v="76"/>
    <n v="88"/>
    <n v="66"/>
    <n v="82"/>
    <n v="71"/>
    <n v="84"/>
    <n v="67"/>
    <n v="83"/>
    <n v="56"/>
    <n v="72"/>
    <n v="88"/>
    <n v="86"/>
    <n v="70"/>
    <n v="84"/>
    <n v="75"/>
    <n v="73"/>
    <n v="62"/>
    <n v="8"/>
    <n v="6"/>
    <n v="4"/>
    <n v="14"/>
    <n v="14"/>
  </r>
  <r>
    <s v="I. Rakiti?"/>
    <x v="9"/>
    <s v="Croatia"/>
    <x v="0"/>
    <x v="42"/>
    <x v="3"/>
    <s v="RCM"/>
    <n v="84"/>
    <n v="83"/>
    <n v="58"/>
    <n v="87"/>
    <n v="80"/>
    <n v="84"/>
    <n v="88"/>
    <n v="84"/>
    <n v="90"/>
    <n v="87"/>
    <n v="66"/>
    <n v="59"/>
    <n v="72"/>
    <n v="77"/>
    <n v="66"/>
    <n v="84"/>
    <n v="39"/>
    <n v="84"/>
    <n v="66"/>
    <n v="90"/>
    <n v="67"/>
    <n v="75"/>
    <n v="79"/>
    <n v="86"/>
    <n v="82"/>
    <n v="81"/>
    <n v="72"/>
    <n v="74"/>
    <n v="70"/>
    <n v="14"/>
    <n v="11"/>
    <n v="12"/>
    <n v="5"/>
    <n v="9"/>
  </r>
  <r>
    <s v="Piqué"/>
    <x v="0"/>
    <s v="Spain"/>
    <x v="0"/>
    <x v="41"/>
    <x v="15"/>
    <s v="RCB"/>
    <n v="57"/>
    <n v="64"/>
    <n v="83"/>
    <n v="81"/>
    <n v="57"/>
    <n v="59"/>
    <n v="58"/>
    <n v="43"/>
    <n v="80"/>
    <n v="78"/>
    <n v="49"/>
    <n v="60"/>
    <n v="58"/>
    <n v="84"/>
    <n v="36"/>
    <n v="62"/>
    <n v="74"/>
    <n v="65"/>
    <n v="83"/>
    <n v="51"/>
    <n v="72"/>
    <n v="88"/>
    <n v="58"/>
    <n v="62"/>
    <n v="69"/>
    <n v="86"/>
    <n v="91"/>
    <n v="86"/>
    <n v="84"/>
    <n v="10"/>
    <n v="11"/>
    <n v="14"/>
    <n v="15"/>
    <n v="8"/>
  </r>
  <r>
    <s v="L. Sané"/>
    <x v="12"/>
    <s v="Germany"/>
    <x v="4"/>
    <x v="43"/>
    <x v="32"/>
    <s v="LW"/>
    <n v="83"/>
    <n v="81"/>
    <n v="72"/>
    <n v="79"/>
    <n v="85"/>
    <n v="88"/>
    <n v="82"/>
    <n v="68"/>
    <n v="64"/>
    <n v="85"/>
    <n v="93"/>
    <n v="96"/>
    <n v="88"/>
    <n v="81"/>
    <n v="81"/>
    <n v="86"/>
    <n v="64"/>
    <n v="79"/>
    <n v="70"/>
    <n v="78"/>
    <n v="61"/>
    <n v="34"/>
    <n v="84"/>
    <n v="82"/>
    <n v="71"/>
    <n v="78"/>
    <n v="36"/>
    <n v="32"/>
    <n v="35"/>
    <n v="8"/>
    <n v="12"/>
    <n v="9"/>
    <n v="9"/>
    <n v="14"/>
  </r>
  <r>
    <s v="Bernardo Silva"/>
    <x v="13"/>
    <s v="Portugal"/>
    <x v="4"/>
    <x v="25"/>
    <x v="37"/>
    <s v="RW"/>
    <n v="85"/>
    <n v="75"/>
    <n v="51"/>
    <n v="85"/>
    <n v="69"/>
    <n v="92"/>
    <n v="83"/>
    <n v="67"/>
    <n v="79"/>
    <n v="91"/>
    <n v="84"/>
    <n v="74"/>
    <n v="90"/>
    <n v="82"/>
    <n v="88"/>
    <n v="70"/>
    <n v="50"/>
    <n v="78"/>
    <n v="48"/>
    <n v="72"/>
    <n v="58"/>
    <n v="49"/>
    <n v="83"/>
    <n v="86"/>
    <n v="68"/>
    <n v="85"/>
    <n v="49"/>
    <n v="44"/>
    <n v="35"/>
    <n v="9"/>
    <n v="10"/>
    <n v="14"/>
    <n v="12"/>
    <n v="9"/>
  </r>
  <r>
    <s v="Ederson"/>
    <x v="8"/>
    <s v="Brazil"/>
    <x v="4"/>
    <x v="44"/>
    <x v="11"/>
    <s v="GK"/>
    <n v="20"/>
    <n v="14"/>
    <n v="14"/>
    <n v="56"/>
    <n v="18"/>
    <n v="23"/>
    <n v="15"/>
    <n v="20"/>
    <n v="58"/>
    <n v="37"/>
    <n v="64"/>
    <n v="63"/>
    <n v="60"/>
    <n v="86"/>
    <n v="48"/>
    <n v="42"/>
    <n v="58"/>
    <n v="41"/>
    <n v="68"/>
    <n v="18"/>
    <n v="35"/>
    <n v="25"/>
    <n v="20"/>
    <n v="67"/>
    <n v="17"/>
    <n v="70"/>
    <n v="28"/>
    <n v="15"/>
    <n v="8"/>
    <n v="85"/>
    <n v="80"/>
    <n v="91"/>
    <n v="82"/>
    <n v="87"/>
  </r>
  <r>
    <s v="S. Mané"/>
    <x v="2"/>
    <s v="Senegal"/>
    <x v="10"/>
    <x v="39"/>
    <x v="32"/>
    <s v="LM"/>
    <n v="73"/>
    <n v="84"/>
    <n v="62"/>
    <n v="79"/>
    <n v="71"/>
    <n v="87"/>
    <n v="74"/>
    <n v="64"/>
    <n v="71"/>
    <n v="86"/>
    <n v="95"/>
    <n v="93"/>
    <n v="91"/>
    <n v="86"/>
    <n v="86"/>
    <n v="82"/>
    <n v="75"/>
    <n v="84"/>
    <n v="67"/>
    <n v="74"/>
    <n v="73"/>
    <n v="35"/>
    <n v="87"/>
    <n v="82"/>
    <n v="71"/>
    <n v="80"/>
    <n v="42"/>
    <n v="42"/>
    <n v="38"/>
    <n v="10"/>
    <n v="10"/>
    <n v="15"/>
    <n v="7"/>
    <n v="14"/>
  </r>
  <r>
    <s v="V. van Dijk"/>
    <x v="2"/>
    <s v="Netherlands"/>
    <x v="10"/>
    <x v="45"/>
    <x v="23"/>
    <s v="LCB"/>
    <n v="53"/>
    <n v="52"/>
    <n v="82"/>
    <n v="76"/>
    <n v="45"/>
    <n v="70"/>
    <n v="60"/>
    <n v="70"/>
    <n v="78"/>
    <n v="73"/>
    <n v="74"/>
    <n v="77"/>
    <n v="61"/>
    <n v="85"/>
    <n v="49"/>
    <n v="81"/>
    <n v="85"/>
    <n v="71"/>
    <n v="92"/>
    <n v="64"/>
    <n v="81"/>
    <n v="86"/>
    <n v="41"/>
    <n v="59"/>
    <n v="62"/>
    <n v="83"/>
    <n v="88"/>
    <n v="89"/>
    <n v="84"/>
    <n v="13"/>
    <n v="10"/>
    <n v="13"/>
    <n v="11"/>
    <n v="11"/>
  </r>
  <r>
    <s v="R. Sterling"/>
    <x v="13"/>
    <s v="England"/>
    <x v="4"/>
    <x v="46"/>
    <x v="32"/>
    <s v="RW"/>
    <n v="77"/>
    <n v="77"/>
    <n v="38"/>
    <n v="84"/>
    <n v="67"/>
    <n v="88"/>
    <n v="70"/>
    <n v="63"/>
    <n v="69"/>
    <n v="87"/>
    <n v="95"/>
    <n v="92"/>
    <n v="93"/>
    <n v="87"/>
    <n v="93"/>
    <n v="73"/>
    <n v="57"/>
    <n v="78"/>
    <n v="52"/>
    <n v="73"/>
    <n v="38"/>
    <n v="30"/>
    <n v="87"/>
    <n v="77"/>
    <n v="69"/>
    <n v="77"/>
    <n v="47"/>
    <n v="58"/>
    <n v="54"/>
    <n v="15"/>
    <n v="12"/>
    <n v="12"/>
    <n v="15"/>
    <n v="9"/>
  </r>
  <r>
    <s v="Roberto Firmino"/>
    <x v="2"/>
    <s v="Brazil"/>
    <x v="10"/>
    <x v="47"/>
    <x v="32"/>
    <s v="CAM"/>
    <n v="72"/>
    <n v="87"/>
    <n v="77"/>
    <n v="86"/>
    <n v="81"/>
    <n v="87"/>
    <n v="80"/>
    <n v="65"/>
    <n v="75"/>
    <n v="88"/>
    <n v="78"/>
    <n v="77"/>
    <n v="80"/>
    <n v="86"/>
    <n v="81"/>
    <n v="81"/>
    <n v="81"/>
    <n v="90"/>
    <n v="74"/>
    <n v="76"/>
    <n v="73"/>
    <n v="58"/>
    <n v="87"/>
    <n v="85"/>
    <n v="72"/>
    <n v="87"/>
    <n v="60"/>
    <n v="64"/>
    <n v="42"/>
    <n v="8"/>
    <n v="11"/>
    <n v="9"/>
    <n v="6"/>
    <n v="10"/>
  </r>
  <r>
    <s v="R. Varane"/>
    <x v="5"/>
    <s v="France"/>
    <x v="6"/>
    <x v="48"/>
    <x v="31"/>
    <s v="RCB"/>
    <n v="36"/>
    <n v="40"/>
    <n v="83"/>
    <n v="75"/>
    <n v="42"/>
    <n v="57"/>
    <n v="46"/>
    <n v="54"/>
    <n v="76"/>
    <n v="77"/>
    <n v="83"/>
    <n v="85"/>
    <n v="63"/>
    <n v="83"/>
    <n v="40"/>
    <n v="52"/>
    <n v="79"/>
    <n v="73"/>
    <n v="84"/>
    <n v="53"/>
    <n v="77"/>
    <n v="82"/>
    <n v="44"/>
    <n v="56"/>
    <n v="43"/>
    <n v="82"/>
    <n v="87"/>
    <n v="88"/>
    <n v="87"/>
    <n v="11"/>
    <n v="11"/>
    <n v="9"/>
    <n v="5"/>
    <n v="14"/>
  </r>
  <r>
    <s v="M. Verratti"/>
    <x v="5"/>
    <s v="Italy"/>
    <x v="2"/>
    <x v="49"/>
    <x v="35"/>
    <s v="LCM"/>
    <n v="72"/>
    <n v="60"/>
    <n v="55"/>
    <n v="90"/>
    <n v="64"/>
    <n v="90"/>
    <n v="73"/>
    <n v="64"/>
    <n v="89"/>
    <n v="88"/>
    <n v="69"/>
    <n v="62"/>
    <n v="87"/>
    <n v="85"/>
    <n v="94"/>
    <n v="56"/>
    <n v="64"/>
    <n v="77"/>
    <n v="52"/>
    <n v="58"/>
    <n v="89"/>
    <n v="84"/>
    <n v="71"/>
    <n v="87"/>
    <n v="64"/>
    <n v="93"/>
    <n v="78"/>
    <n v="83"/>
    <n v="80"/>
    <n v="12"/>
    <n v="12"/>
    <n v="15"/>
    <n v="15"/>
    <n v="10"/>
  </r>
  <r>
    <s v="Alex Sandro"/>
    <x v="3"/>
    <s v="Brazil"/>
    <x v="1"/>
    <x v="50"/>
    <x v="25"/>
    <s v="LB"/>
    <n v="84"/>
    <n v="55"/>
    <n v="76"/>
    <n v="81"/>
    <n v="68"/>
    <n v="80"/>
    <n v="78"/>
    <n v="59"/>
    <n v="71"/>
    <n v="81"/>
    <n v="83"/>
    <n v="86"/>
    <n v="79"/>
    <n v="84"/>
    <n v="78"/>
    <n v="80"/>
    <n v="79"/>
    <n v="92"/>
    <n v="79"/>
    <n v="72"/>
    <n v="82"/>
    <n v="82"/>
    <n v="70"/>
    <n v="70"/>
    <n v="60"/>
    <n v="82"/>
    <n v="81"/>
    <n v="84"/>
    <n v="84"/>
    <n v="7"/>
    <n v="7"/>
    <n v="9"/>
    <n v="12"/>
    <n v="5"/>
  </r>
  <r>
    <s v="Douglas Costa"/>
    <x v="3"/>
    <s v="Brazil"/>
    <x v="1"/>
    <x v="42"/>
    <x v="38"/>
    <s v="LM"/>
    <n v="84"/>
    <n v="67"/>
    <n v="50"/>
    <n v="84"/>
    <n v="76"/>
    <n v="92"/>
    <n v="84"/>
    <n v="78"/>
    <n v="68"/>
    <n v="91"/>
    <n v="97"/>
    <n v="93"/>
    <n v="93"/>
    <n v="84"/>
    <n v="91"/>
    <n v="86"/>
    <n v="61"/>
    <n v="78"/>
    <n v="63"/>
    <n v="80"/>
    <n v="55"/>
    <n v="48"/>
    <n v="76"/>
    <n v="84"/>
    <n v="77"/>
    <n v="84"/>
    <n v="45"/>
    <n v="38"/>
    <n v="34"/>
    <n v="13"/>
    <n v="15"/>
    <n v="9"/>
    <n v="12"/>
    <n v="5"/>
  </r>
  <r>
    <s v="T. Muller"/>
    <x v="7"/>
    <s v="Germany"/>
    <x v="8"/>
    <x v="40"/>
    <x v="35"/>
    <s v="CAM"/>
    <n v="79"/>
    <n v="87"/>
    <n v="82"/>
    <n v="83"/>
    <n v="84"/>
    <n v="75"/>
    <n v="81"/>
    <n v="59"/>
    <n v="72"/>
    <n v="82"/>
    <n v="73"/>
    <n v="75"/>
    <n v="75"/>
    <n v="91"/>
    <n v="72"/>
    <n v="78"/>
    <n v="81"/>
    <n v="87"/>
    <n v="68"/>
    <n v="80"/>
    <n v="57"/>
    <n v="58"/>
    <n v="92"/>
    <n v="85"/>
    <n v="60"/>
    <n v="83"/>
    <n v="44"/>
    <n v="41"/>
    <n v="44"/>
    <n v="6"/>
    <n v="7"/>
    <n v="11"/>
    <n v="14"/>
    <n v="14"/>
  </r>
  <r>
    <s v="Thiago"/>
    <x v="3"/>
    <s v="Spain"/>
    <x v="8"/>
    <x v="51"/>
    <x v="18"/>
    <s v="CM"/>
    <n v="72"/>
    <n v="69"/>
    <n v="54"/>
    <n v="90"/>
    <n v="90"/>
    <n v="90"/>
    <n v="85"/>
    <n v="77"/>
    <n v="87"/>
    <n v="90"/>
    <n v="78"/>
    <n v="69"/>
    <n v="90"/>
    <n v="84"/>
    <n v="86"/>
    <n v="75"/>
    <n v="75"/>
    <n v="75"/>
    <n v="59"/>
    <n v="79"/>
    <n v="57"/>
    <n v="78"/>
    <n v="79"/>
    <n v="86"/>
    <n v="75"/>
    <n v="85"/>
    <n v="67"/>
    <n v="63"/>
    <n v="65"/>
    <n v="6"/>
    <n v="11"/>
    <n v="7"/>
    <n v="9"/>
    <n v="13"/>
  </r>
  <r>
    <s v="M. Reus"/>
    <x v="6"/>
    <s v="Germany"/>
    <x v="16"/>
    <x v="52"/>
    <x v="21"/>
    <s v="LM"/>
    <n v="79"/>
    <n v="87"/>
    <n v="49"/>
    <n v="86"/>
    <n v="90"/>
    <n v="87"/>
    <n v="89"/>
    <n v="84"/>
    <n v="75"/>
    <n v="86"/>
    <n v="86"/>
    <n v="85"/>
    <n v="86"/>
    <n v="87"/>
    <n v="81"/>
    <n v="88"/>
    <n v="70"/>
    <n v="73"/>
    <n v="67"/>
    <n v="86"/>
    <n v="49"/>
    <n v="50"/>
    <n v="88"/>
    <n v="86"/>
    <n v="89"/>
    <n v="84"/>
    <n v="47"/>
    <n v="36"/>
    <n v="45"/>
    <n v="12"/>
    <n v="12"/>
    <n v="13"/>
    <n v="13"/>
    <n v="11"/>
  </r>
  <r>
    <s v="Azpilicueta"/>
    <x v="7"/>
    <s v="Spain"/>
    <x v="5"/>
    <x v="53"/>
    <x v="38"/>
    <s v="RB"/>
    <n v="81"/>
    <n v="46"/>
    <n v="76"/>
    <n v="81"/>
    <n v="51"/>
    <n v="69"/>
    <n v="68"/>
    <n v="58"/>
    <n v="80"/>
    <n v="77"/>
    <n v="76"/>
    <n v="76"/>
    <n v="72"/>
    <n v="88"/>
    <n v="73"/>
    <n v="68"/>
    <n v="76"/>
    <n v="87"/>
    <n v="71"/>
    <n v="60"/>
    <n v="82"/>
    <n v="89"/>
    <n v="62"/>
    <n v="74"/>
    <n v="66"/>
    <n v="78"/>
    <n v="88"/>
    <n v="90"/>
    <n v="86"/>
    <n v="13"/>
    <n v="9"/>
    <n v="10"/>
    <n v="6"/>
    <n v="5"/>
  </r>
  <r>
    <s v="L. Bonucci"/>
    <x v="0"/>
    <s v="Italy"/>
    <x v="1"/>
    <x v="34"/>
    <x v="25"/>
    <s v="RCB"/>
    <n v="44"/>
    <n v="48"/>
    <n v="86"/>
    <n v="77"/>
    <n v="58"/>
    <n v="69"/>
    <n v="56"/>
    <n v="61"/>
    <n v="85"/>
    <n v="75"/>
    <n v="57"/>
    <n v="65"/>
    <n v="60"/>
    <n v="84"/>
    <n v="52"/>
    <n v="74"/>
    <n v="85"/>
    <n v="71"/>
    <n v="83"/>
    <n v="65"/>
    <n v="82"/>
    <n v="90"/>
    <n v="38"/>
    <n v="74"/>
    <n v="70"/>
    <n v="86"/>
    <n v="90"/>
    <n v="86"/>
    <n v="80"/>
    <n v="2"/>
    <n v="2"/>
    <n v="3"/>
    <n v="2"/>
    <n v="4"/>
  </r>
  <r>
    <s v="T. Alderweireld"/>
    <x v="6"/>
    <s v="Belgium"/>
    <x v="9"/>
    <x v="54"/>
    <x v="26"/>
    <s v="RCB"/>
    <n v="64"/>
    <n v="45"/>
    <n v="82"/>
    <n v="79"/>
    <n v="38"/>
    <n v="62"/>
    <n v="63"/>
    <n v="69"/>
    <n v="85"/>
    <n v="74"/>
    <n v="61"/>
    <n v="66"/>
    <n v="60"/>
    <n v="86"/>
    <n v="50"/>
    <n v="78"/>
    <n v="84"/>
    <n v="74"/>
    <n v="79"/>
    <n v="65"/>
    <n v="80"/>
    <n v="87"/>
    <n v="58"/>
    <n v="67"/>
    <n v="58"/>
    <n v="81"/>
    <n v="90"/>
    <n v="91"/>
    <n v="86"/>
    <n v="16"/>
    <n v="6"/>
    <n v="14"/>
    <n v="16"/>
    <n v="14"/>
  </r>
  <r>
    <s v="M. Pjani?"/>
    <x v="7"/>
    <s v="Bosnia Herzegovina"/>
    <x v="1"/>
    <x v="11"/>
    <x v="37"/>
    <s v="CDM"/>
    <n v="80"/>
    <n v="60"/>
    <n v="60"/>
    <n v="89"/>
    <n v="72"/>
    <n v="86"/>
    <n v="86"/>
    <n v="92"/>
    <n v="85"/>
    <n v="89"/>
    <n v="66"/>
    <n v="66"/>
    <n v="77"/>
    <n v="84"/>
    <n v="79"/>
    <n v="78"/>
    <n v="61"/>
    <n v="78"/>
    <n v="66"/>
    <n v="82"/>
    <n v="70"/>
    <n v="78"/>
    <n v="70"/>
    <n v="88"/>
    <n v="79"/>
    <n v="86"/>
    <n v="75"/>
    <n v="74"/>
    <n v="70"/>
    <n v="7"/>
    <n v="7"/>
    <n v="13"/>
    <n v="7"/>
    <n v="8"/>
  </r>
  <r>
    <s v="M. Benatia"/>
    <x v="0"/>
    <s v="Morocco"/>
    <x v="1"/>
    <x v="34"/>
    <x v="25"/>
    <s v="CB"/>
    <n v="45"/>
    <n v="47"/>
    <n v="83"/>
    <n v="65"/>
    <n v="44"/>
    <n v="64"/>
    <n v="34"/>
    <n v="27"/>
    <n v="65"/>
    <n v="64"/>
    <n v="65"/>
    <n v="75"/>
    <n v="59"/>
    <n v="82"/>
    <n v="53"/>
    <n v="66"/>
    <n v="85"/>
    <n v="69"/>
    <n v="91"/>
    <n v="24"/>
    <n v="86"/>
    <n v="86"/>
    <n v="38"/>
    <n v="47"/>
    <n v="41"/>
    <n v="82"/>
    <n v="89"/>
    <n v="87"/>
    <n v="85"/>
    <n v="7"/>
    <n v="4"/>
    <n v="8"/>
    <n v="7"/>
    <n v="11"/>
  </r>
  <r>
    <s v="M. Ozil"/>
    <x v="6"/>
    <s v="Germany"/>
    <x v="12"/>
    <x v="52"/>
    <x v="39"/>
    <s v="CAM"/>
    <n v="83"/>
    <n v="73"/>
    <n v="54"/>
    <n v="89"/>
    <n v="80"/>
    <n v="84"/>
    <n v="84"/>
    <n v="77"/>
    <n v="82"/>
    <n v="90"/>
    <n v="72"/>
    <n v="69"/>
    <n v="79"/>
    <n v="84"/>
    <n v="70"/>
    <n v="70"/>
    <n v="48"/>
    <n v="69"/>
    <n v="57"/>
    <n v="75"/>
    <n v="48"/>
    <n v="24"/>
    <n v="83"/>
    <n v="91"/>
    <n v="67"/>
    <n v="82"/>
    <n v="24"/>
    <n v="16"/>
    <n v="19"/>
    <n v="6"/>
    <n v="14"/>
    <n v="10"/>
    <n v="6"/>
    <n v="14"/>
  </r>
  <r>
    <s v="Fernandinho"/>
    <x v="1"/>
    <s v="Brazil"/>
    <x v="4"/>
    <x v="55"/>
    <x v="40"/>
    <s v="CDM"/>
    <n v="68"/>
    <n v="69"/>
    <n v="63"/>
    <n v="85"/>
    <n v="74"/>
    <n v="77"/>
    <n v="70"/>
    <n v="72"/>
    <n v="81"/>
    <n v="82"/>
    <n v="68"/>
    <n v="67"/>
    <n v="72"/>
    <n v="86"/>
    <n v="78"/>
    <n v="83"/>
    <n v="76"/>
    <n v="79"/>
    <n v="76"/>
    <n v="78"/>
    <n v="87"/>
    <n v="88"/>
    <n v="70"/>
    <n v="75"/>
    <n v="61"/>
    <n v="79"/>
    <n v="85"/>
    <n v="85"/>
    <n v="80"/>
    <n v="12"/>
    <n v="11"/>
    <n v="5"/>
    <n v="13"/>
    <n v="7"/>
  </r>
  <r>
    <s v="Iniesta"/>
    <x v="14"/>
    <s v="Spain"/>
    <x v="17"/>
    <x v="56"/>
    <x v="41"/>
    <s v="LF"/>
    <n v="77"/>
    <n v="70"/>
    <n v="54"/>
    <n v="90"/>
    <n v="74"/>
    <n v="90"/>
    <n v="80"/>
    <n v="70"/>
    <n v="85"/>
    <n v="92"/>
    <n v="70"/>
    <n v="67"/>
    <n v="79"/>
    <n v="86"/>
    <n v="84"/>
    <n v="65"/>
    <n v="47"/>
    <n v="55"/>
    <n v="58"/>
    <n v="71"/>
    <n v="58"/>
    <n v="66"/>
    <n v="81"/>
    <n v="93"/>
    <n v="71"/>
    <n v="89"/>
    <n v="67"/>
    <n v="57"/>
    <n v="56"/>
    <n v="6"/>
    <n v="13"/>
    <n v="6"/>
    <n v="13"/>
    <n v="7"/>
  </r>
  <r>
    <s v="M. Škriniar"/>
    <x v="13"/>
    <s v="Slovakia"/>
    <x v="14"/>
    <x v="42"/>
    <x v="42"/>
    <s v="LCB"/>
    <n v="40"/>
    <n v="42"/>
    <n v="80"/>
    <n v="70"/>
    <n v="40"/>
    <n v="59"/>
    <n v="34"/>
    <n v="30"/>
    <n v="68"/>
    <n v="67"/>
    <n v="70"/>
    <n v="73"/>
    <n v="48"/>
    <n v="81"/>
    <n v="48"/>
    <n v="50"/>
    <n v="78"/>
    <n v="77"/>
    <n v="83"/>
    <n v="30"/>
    <n v="86"/>
    <n v="86"/>
    <n v="30"/>
    <n v="57"/>
    <n v="56"/>
    <n v="80"/>
    <n v="92"/>
    <n v="88"/>
    <n v="82"/>
    <n v="10"/>
    <n v="13"/>
    <n v="12"/>
    <n v="8"/>
    <n v="12"/>
  </r>
  <r>
    <s v="S. Milinkovi?-Savi?"/>
    <x v="13"/>
    <s v="Serbia"/>
    <x v="15"/>
    <x v="57"/>
    <x v="43"/>
    <s v="CM"/>
    <n v="64"/>
    <n v="80"/>
    <n v="86"/>
    <n v="85"/>
    <n v="74"/>
    <n v="86"/>
    <n v="78"/>
    <n v="75"/>
    <n v="85"/>
    <n v="87"/>
    <n v="68"/>
    <n v="70"/>
    <n v="66"/>
    <n v="80"/>
    <n v="59"/>
    <n v="83"/>
    <n v="85"/>
    <n v="85"/>
    <n v="88"/>
    <n v="80"/>
    <n v="73"/>
    <n v="78"/>
    <n v="79"/>
    <n v="85"/>
    <n v="56"/>
    <n v="82"/>
    <n v="75"/>
    <n v="77"/>
    <n v="72"/>
    <n v="7"/>
    <n v="10"/>
    <n v="7"/>
    <n v="16"/>
    <n v="7"/>
  </r>
  <r>
    <s v="Marco Asensio"/>
    <x v="12"/>
    <s v="Spain"/>
    <x v="6"/>
    <x v="58"/>
    <x v="20"/>
    <s v="RW"/>
    <n v="82"/>
    <n v="82"/>
    <n v="50"/>
    <n v="83"/>
    <n v="79"/>
    <n v="86"/>
    <n v="83"/>
    <n v="76"/>
    <n v="82"/>
    <n v="85"/>
    <n v="85"/>
    <n v="82"/>
    <n v="79"/>
    <n v="82"/>
    <n v="76"/>
    <n v="86"/>
    <n v="58"/>
    <n v="76"/>
    <n v="61"/>
    <n v="88"/>
    <n v="45"/>
    <n v="45"/>
    <n v="82"/>
    <n v="84"/>
    <n v="62"/>
    <n v="83"/>
    <n v="40"/>
    <n v="42"/>
    <n v="39"/>
    <n v="13"/>
    <n v="9"/>
    <n v="6"/>
    <n v="12"/>
    <n v="10"/>
  </r>
  <r>
    <s v="N. Fekir"/>
    <x v="8"/>
    <s v="France"/>
    <x v="18"/>
    <x v="48"/>
    <x v="44"/>
    <s v="CAM"/>
    <n v="83"/>
    <n v="82"/>
    <n v="49"/>
    <n v="83"/>
    <n v="77"/>
    <n v="90"/>
    <n v="81"/>
    <n v="79"/>
    <n v="75"/>
    <n v="89"/>
    <n v="79"/>
    <n v="79"/>
    <n v="90"/>
    <n v="80"/>
    <n v="91"/>
    <n v="84"/>
    <n v="69"/>
    <n v="80"/>
    <n v="82"/>
    <n v="82"/>
    <n v="73"/>
    <n v="28"/>
    <n v="81"/>
    <n v="81"/>
    <n v="81"/>
    <n v="89"/>
    <n v="31"/>
    <n v="37"/>
    <n v="25"/>
    <n v="15"/>
    <n v="9"/>
    <n v="8"/>
    <n v="14"/>
    <n v="15"/>
  </r>
  <r>
    <s v="Alisson"/>
    <x v="5"/>
    <s v="Brazil"/>
    <x v="10"/>
    <x v="50"/>
    <x v="30"/>
    <s v="GK"/>
    <n v="17"/>
    <n v="13"/>
    <n v="19"/>
    <n v="45"/>
    <n v="20"/>
    <n v="27"/>
    <n v="19"/>
    <n v="18"/>
    <n v="44"/>
    <n v="30"/>
    <n v="54"/>
    <n v="45"/>
    <n v="40"/>
    <n v="84"/>
    <n v="37"/>
    <n v="21"/>
    <n v="52"/>
    <n v="32"/>
    <n v="78"/>
    <n v="14"/>
    <n v="27"/>
    <n v="11"/>
    <n v="13"/>
    <n v="66"/>
    <n v="23"/>
    <n v="65"/>
    <n v="15"/>
    <n v="19"/>
    <n v="16"/>
    <n v="83"/>
    <n v="81"/>
    <n v="85"/>
    <n v="84"/>
    <n v="88"/>
  </r>
  <r>
    <s v="J. Kimmich"/>
    <x v="13"/>
    <s v="Germany"/>
    <x v="8"/>
    <x v="59"/>
    <x v="44"/>
    <s v="RCM"/>
    <n v="90"/>
    <n v="66"/>
    <n v="74"/>
    <n v="85"/>
    <n v="61"/>
    <n v="80"/>
    <n v="81"/>
    <n v="61"/>
    <n v="80"/>
    <n v="85"/>
    <n v="78"/>
    <n v="68"/>
    <n v="84"/>
    <n v="85"/>
    <n v="83"/>
    <n v="75"/>
    <n v="79"/>
    <n v="85"/>
    <n v="65"/>
    <n v="69"/>
    <n v="74"/>
    <n v="79"/>
    <n v="80"/>
    <n v="79"/>
    <n v="44"/>
    <n v="82"/>
    <n v="75"/>
    <n v="81"/>
    <n v="79"/>
    <n v="8"/>
    <n v="15"/>
    <n v="7"/>
    <n v="15"/>
    <n v="15"/>
  </r>
  <r>
    <s v="Saúl"/>
    <x v="13"/>
    <s v="Spain"/>
    <x v="7"/>
    <x v="57"/>
    <x v="29"/>
    <s v="RCM"/>
    <n v="69"/>
    <n v="78"/>
    <n v="83"/>
    <n v="85"/>
    <n v="76"/>
    <n v="83"/>
    <n v="72"/>
    <n v="60"/>
    <n v="83"/>
    <n v="85"/>
    <n v="74"/>
    <n v="73"/>
    <n v="76"/>
    <n v="82"/>
    <n v="69"/>
    <n v="78"/>
    <n v="79"/>
    <n v="86"/>
    <n v="77"/>
    <n v="79"/>
    <n v="69"/>
    <n v="78"/>
    <n v="82"/>
    <n v="82"/>
    <n v="55"/>
    <n v="83"/>
    <n v="77"/>
    <n v="79"/>
    <n v="76"/>
    <n v="7"/>
    <n v="13"/>
    <n v="12"/>
    <n v="10"/>
    <n v="9"/>
  </r>
  <r>
    <s v="R. Mahrez"/>
    <x v="3"/>
    <s v="Algeria"/>
    <x v="4"/>
    <x v="59"/>
    <x v="10"/>
    <s v="RW"/>
    <n v="81"/>
    <n v="80"/>
    <n v="48"/>
    <n v="82"/>
    <n v="72"/>
    <n v="91"/>
    <n v="84"/>
    <n v="78"/>
    <n v="76"/>
    <n v="90"/>
    <n v="88"/>
    <n v="83"/>
    <n v="93"/>
    <n v="77"/>
    <n v="88"/>
    <n v="79"/>
    <n v="61"/>
    <n v="76"/>
    <n v="54"/>
    <n v="81"/>
    <n v="48"/>
    <n v="39"/>
    <n v="80"/>
    <n v="81"/>
    <n v="73"/>
    <n v="86"/>
    <n v="45"/>
    <n v="31"/>
    <n v="18"/>
    <n v="15"/>
    <n v="9"/>
    <n v="13"/>
    <n v="11"/>
    <n v="6"/>
  </r>
  <r>
    <s v="D. Alaba"/>
    <x v="2"/>
    <s v="Austria"/>
    <x v="8"/>
    <x v="20"/>
    <x v="28"/>
    <s v="LB"/>
    <n v="81"/>
    <n v="63"/>
    <n v="75"/>
    <n v="82"/>
    <n v="68"/>
    <n v="79"/>
    <n v="78"/>
    <n v="84"/>
    <n v="80"/>
    <n v="83"/>
    <n v="79"/>
    <n v="86"/>
    <n v="79"/>
    <n v="84"/>
    <n v="77"/>
    <n v="83"/>
    <n v="82"/>
    <n v="87"/>
    <n v="71"/>
    <n v="82"/>
    <n v="69"/>
    <n v="84"/>
    <n v="76"/>
    <n v="77"/>
    <n v="80"/>
    <n v="79"/>
    <n v="80"/>
    <n v="82"/>
    <n v="80"/>
    <n v="5"/>
    <n v="7"/>
    <n v="14"/>
    <n v="15"/>
    <n v="9"/>
  </r>
  <r>
    <s v="Koke"/>
    <x v="2"/>
    <s v="Spain"/>
    <x v="7"/>
    <x v="40"/>
    <x v="45"/>
    <s v="LM"/>
    <n v="86"/>
    <n v="72"/>
    <n v="61"/>
    <n v="90"/>
    <n v="56"/>
    <n v="82"/>
    <n v="85"/>
    <n v="76"/>
    <n v="89"/>
    <n v="86"/>
    <n v="71"/>
    <n v="68"/>
    <n v="74"/>
    <n v="85"/>
    <n v="78"/>
    <n v="84"/>
    <n v="61"/>
    <n v="90"/>
    <n v="79"/>
    <n v="81"/>
    <n v="71"/>
    <n v="66"/>
    <n v="84"/>
    <n v="87"/>
    <n v="59"/>
    <n v="78"/>
    <n v="80"/>
    <n v="69"/>
    <n v="51"/>
    <n v="14"/>
    <n v="12"/>
    <n v="5"/>
    <n v="10"/>
    <n v="13"/>
  </r>
  <r>
    <s v="A. Lacazette"/>
    <x v="3"/>
    <s v="France"/>
    <x v="12"/>
    <x v="40"/>
    <x v="37"/>
    <s v="ST"/>
    <n v="64"/>
    <n v="88"/>
    <n v="73"/>
    <n v="80"/>
    <n v="81"/>
    <n v="85"/>
    <n v="74"/>
    <n v="71"/>
    <n v="59"/>
    <n v="83"/>
    <n v="81"/>
    <n v="84"/>
    <n v="85"/>
    <n v="85"/>
    <n v="85"/>
    <n v="83"/>
    <n v="76"/>
    <n v="79"/>
    <n v="73"/>
    <n v="75"/>
    <n v="70"/>
    <n v="42"/>
    <n v="86"/>
    <n v="76"/>
    <n v="84"/>
    <n v="85"/>
    <n v="29"/>
    <n v="42"/>
    <n v="30"/>
    <n v="11"/>
    <n v="6"/>
    <n v="9"/>
    <n v="5"/>
    <n v="6"/>
  </r>
  <r>
    <s v="K. Manolas"/>
    <x v="3"/>
    <s v="Greece"/>
    <x v="19"/>
    <x v="60"/>
    <x v="46"/>
    <s v="LCB"/>
    <n v="27"/>
    <n v="10"/>
    <n v="80"/>
    <n v="60"/>
    <n v="16"/>
    <n v="54"/>
    <n v="30"/>
    <n v="10"/>
    <n v="61"/>
    <n v="65"/>
    <n v="80"/>
    <n v="85"/>
    <n v="68"/>
    <n v="85"/>
    <n v="59"/>
    <n v="40"/>
    <n v="86"/>
    <n v="76"/>
    <n v="82"/>
    <n v="12"/>
    <n v="86"/>
    <n v="86"/>
    <n v="25"/>
    <n v="22"/>
    <n v="26"/>
    <n v="79"/>
    <n v="86"/>
    <n v="87"/>
    <n v="89"/>
    <n v="8"/>
    <n v="6"/>
    <n v="8"/>
    <n v="15"/>
    <n v="12"/>
  </r>
  <r>
    <s v="N. Otamendi"/>
    <x v="9"/>
    <s v="Argentina"/>
    <x v="4"/>
    <x v="61"/>
    <x v="47"/>
    <s v="CB"/>
    <n v="52"/>
    <n v="54"/>
    <n v="85"/>
    <n v="75"/>
    <n v="57"/>
    <n v="51"/>
    <n v="50"/>
    <n v="39"/>
    <n v="72"/>
    <n v="70"/>
    <n v="57"/>
    <n v="61"/>
    <n v="64"/>
    <n v="79"/>
    <n v="62"/>
    <n v="69"/>
    <n v="92"/>
    <n v="67"/>
    <n v="80"/>
    <n v="56"/>
    <n v="91"/>
    <n v="84"/>
    <n v="51"/>
    <n v="53"/>
    <n v="45"/>
    <n v="80"/>
    <n v="83"/>
    <n v="85"/>
    <n v="84"/>
    <n v="12"/>
    <n v="5"/>
    <n v="8"/>
    <n v="11"/>
    <n v="12"/>
  </r>
  <r>
    <s v="Parejo"/>
    <x v="6"/>
    <s v="Spain"/>
    <x v="20"/>
    <x v="62"/>
    <x v="48"/>
    <s v="RCM"/>
    <n v="84"/>
    <n v="79"/>
    <n v="61"/>
    <n v="90"/>
    <n v="72"/>
    <n v="78"/>
    <n v="89"/>
    <n v="90"/>
    <n v="87"/>
    <n v="84"/>
    <n v="51"/>
    <n v="43"/>
    <n v="66"/>
    <n v="78"/>
    <n v="72"/>
    <n v="78"/>
    <n v="51"/>
    <n v="78"/>
    <n v="72"/>
    <n v="82"/>
    <n v="58"/>
    <n v="81"/>
    <n v="81"/>
    <n v="86"/>
    <n v="83"/>
    <n v="78"/>
    <n v="69"/>
    <n v="68"/>
    <n v="60"/>
    <n v="5"/>
    <n v="9"/>
    <n v="12"/>
    <n v="14"/>
    <n v="8"/>
  </r>
  <r>
    <s v="bernardo Silva"/>
    <x v="6"/>
    <s v="Brazil"/>
    <x v="21"/>
    <x v="62"/>
    <x v="49"/>
    <s v="LDM"/>
    <n v="64"/>
    <n v="81"/>
    <n v="85"/>
    <n v="84"/>
    <n v="75"/>
    <n v="82"/>
    <n v="66"/>
    <n v="72"/>
    <n v="80"/>
    <n v="84"/>
    <n v="73"/>
    <n v="73"/>
    <n v="69"/>
    <n v="84"/>
    <n v="66"/>
    <n v="83"/>
    <n v="90"/>
    <n v="92"/>
    <n v="81"/>
    <n v="80"/>
    <n v="81"/>
    <n v="81"/>
    <n v="84"/>
    <n v="78"/>
    <n v="71"/>
    <n v="80"/>
    <n v="75"/>
    <n v="81"/>
    <n v="73"/>
    <n v="16"/>
    <n v="16"/>
    <n v="11"/>
    <n v="6"/>
    <n v="8"/>
  </r>
  <r>
    <s v="W. Szcz?sny"/>
    <x v="7"/>
    <s v="Poland"/>
    <x v="1"/>
    <x v="63"/>
    <x v="11"/>
    <s v="GK"/>
    <n v="12"/>
    <n v="12"/>
    <n v="16"/>
    <n v="32"/>
    <n v="14"/>
    <n v="11"/>
    <n v="16"/>
    <n v="14"/>
    <n v="36"/>
    <n v="22"/>
    <n v="51"/>
    <n v="47"/>
    <n v="55"/>
    <n v="82"/>
    <n v="51"/>
    <n v="15"/>
    <n v="71"/>
    <n v="45"/>
    <n v="65"/>
    <n v="14"/>
    <n v="40"/>
    <n v="15"/>
    <n v="14"/>
    <n v="48"/>
    <n v="18"/>
    <n v="65"/>
    <n v="20"/>
    <n v="13"/>
    <n v="12"/>
    <n v="85"/>
    <n v="81"/>
    <n v="71"/>
    <n v="85"/>
    <n v="87"/>
  </r>
  <r>
    <s v="A. SÃnchez"/>
    <x v="6"/>
    <s v="Chile"/>
    <x v="3"/>
    <x v="60"/>
    <x v="20"/>
    <s v="RW"/>
    <n v="77"/>
    <n v="80"/>
    <n v="73"/>
    <n v="77"/>
    <n v="83"/>
    <n v="87"/>
    <n v="79"/>
    <n v="78"/>
    <n v="75"/>
    <n v="86"/>
    <n v="86"/>
    <n v="79"/>
    <n v="90"/>
    <n v="83"/>
    <n v="87"/>
    <n v="84"/>
    <n v="87"/>
    <n v="83"/>
    <n v="72"/>
    <n v="81"/>
    <n v="79"/>
    <n v="46"/>
    <n v="84"/>
    <n v="82"/>
    <n v="77"/>
    <n v="84"/>
    <n v="38"/>
    <n v="44"/>
    <n v="35"/>
    <n v="10"/>
    <n v="10"/>
    <n v="15"/>
    <n v="12"/>
    <n v="13"/>
  </r>
  <r>
    <s v="Y. Brahimi"/>
    <x v="7"/>
    <s v="Algeria"/>
    <x v="22"/>
    <x v="54"/>
    <x v="50"/>
    <s v="LM"/>
    <n v="79"/>
    <n v="76"/>
    <n v="46"/>
    <n v="79"/>
    <n v="73"/>
    <n v="93"/>
    <n v="84"/>
    <n v="78"/>
    <n v="72"/>
    <n v="86"/>
    <n v="87"/>
    <n v="75"/>
    <n v="92"/>
    <n v="84"/>
    <n v="87"/>
    <n v="69"/>
    <n v="72"/>
    <n v="85"/>
    <n v="49"/>
    <n v="76"/>
    <n v="46"/>
    <n v="38"/>
    <n v="83"/>
    <n v="79"/>
    <n v="75"/>
    <n v="90"/>
    <n v="51"/>
    <n v="36"/>
    <n v="25"/>
    <n v="13"/>
    <n v="16"/>
    <n v="12"/>
    <n v="7"/>
    <n v="7"/>
  </r>
  <r>
    <s v="J. Boateng"/>
    <x v="6"/>
    <s v="Germany"/>
    <x v="8"/>
    <x v="34"/>
    <x v="30"/>
    <s v="RCB"/>
    <n v="69"/>
    <n v="34"/>
    <n v="85"/>
    <n v="75"/>
    <n v="52"/>
    <n v="64"/>
    <n v="53"/>
    <n v="31"/>
    <n v="83"/>
    <n v="70"/>
    <n v="67"/>
    <n v="72"/>
    <n v="56"/>
    <n v="82"/>
    <n v="52"/>
    <n v="78"/>
    <n v="74"/>
    <n v="69"/>
    <n v="91"/>
    <n v="58"/>
    <n v="81"/>
    <n v="81"/>
    <n v="47"/>
    <n v="75"/>
    <n v="46"/>
    <n v="84"/>
    <n v="84"/>
    <n v="87"/>
    <n v="87"/>
    <n v="7"/>
    <n v="12"/>
    <n v="15"/>
    <n v="6"/>
    <n v="5"/>
  </r>
  <r>
    <s v="A. Vidal"/>
    <x v="0"/>
    <s v="Chile"/>
    <x v="0"/>
    <x v="64"/>
    <x v="10"/>
    <s v="CAM"/>
    <n v="76"/>
    <n v="75"/>
    <n v="82"/>
    <n v="83"/>
    <n v="78"/>
    <n v="76"/>
    <n v="76"/>
    <n v="68"/>
    <n v="79"/>
    <n v="82"/>
    <n v="60"/>
    <n v="55"/>
    <n v="74"/>
    <n v="84"/>
    <n v="75"/>
    <n v="86"/>
    <n v="85"/>
    <n v="83"/>
    <n v="79"/>
    <n v="85"/>
    <n v="93"/>
    <n v="84"/>
    <n v="80"/>
    <n v="80"/>
    <n v="81"/>
    <n v="81"/>
    <n v="82"/>
    <n v="87"/>
    <n v="86"/>
    <n v="4"/>
    <n v="2"/>
    <n v="4"/>
    <n v="2"/>
    <n v="4"/>
  </r>
  <r>
    <s v="I. Periši?"/>
    <x v="6"/>
    <s v="Croatia"/>
    <x v="14"/>
    <x v="60"/>
    <x v="28"/>
    <s v="LM"/>
    <n v="83"/>
    <n v="79"/>
    <n v="80"/>
    <n v="81"/>
    <n v="81"/>
    <n v="84"/>
    <n v="73"/>
    <n v="75"/>
    <n v="77"/>
    <n v="85"/>
    <n v="84"/>
    <n v="88"/>
    <n v="78"/>
    <n v="81"/>
    <n v="74"/>
    <n v="84"/>
    <n v="84"/>
    <n v="89"/>
    <n v="78"/>
    <n v="79"/>
    <n v="65"/>
    <n v="69"/>
    <n v="85"/>
    <n v="79"/>
    <n v="76"/>
    <n v="80"/>
    <n v="64"/>
    <n v="52"/>
    <n v="54"/>
    <n v="6"/>
    <n v="7"/>
    <n v="10"/>
    <n v="9"/>
    <n v="6"/>
  </r>
  <r>
    <s v="E. Džeko"/>
    <x v="4"/>
    <s v="Bosnia Herzegovina"/>
    <x v="19"/>
    <x v="37"/>
    <x v="30"/>
    <s v="ST"/>
    <n v="63"/>
    <n v="89"/>
    <n v="84"/>
    <n v="77"/>
    <n v="77"/>
    <n v="76"/>
    <n v="65"/>
    <n v="54"/>
    <n v="72"/>
    <n v="84"/>
    <n v="65"/>
    <n v="66"/>
    <n v="57"/>
    <n v="83"/>
    <n v="36"/>
    <n v="86"/>
    <n v="66"/>
    <n v="76"/>
    <n v="80"/>
    <n v="79"/>
    <n v="51"/>
    <n v="50"/>
    <n v="89"/>
    <n v="74"/>
    <n v="67"/>
    <n v="83"/>
    <n v="58"/>
    <n v="28"/>
    <n v="16"/>
    <n v="9"/>
    <n v="11"/>
    <n v="13"/>
    <n v="15"/>
    <n v="15"/>
  </r>
  <r>
    <s v="S. Khedira"/>
    <x v="0"/>
    <s v="Germany"/>
    <x v="1"/>
    <x v="65"/>
    <x v="25"/>
    <s v="RCM"/>
    <n v="72"/>
    <n v="72"/>
    <n v="76"/>
    <n v="85"/>
    <n v="78"/>
    <n v="81"/>
    <n v="68"/>
    <n v="68"/>
    <n v="82"/>
    <n v="84"/>
    <n v="54"/>
    <n v="60"/>
    <n v="55"/>
    <n v="87"/>
    <n v="54"/>
    <n v="82"/>
    <n v="68"/>
    <n v="78"/>
    <n v="87"/>
    <n v="78"/>
    <n v="82"/>
    <n v="86"/>
    <n v="79"/>
    <n v="82"/>
    <n v="69"/>
    <n v="84"/>
    <n v="80"/>
    <n v="83"/>
    <n v="76"/>
    <n v="11"/>
    <n v="9"/>
    <n v="5"/>
    <n v="15"/>
    <n v="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L. Messi"/>
    <x v="0"/>
    <s v="Argentina"/>
    <x v="0"/>
    <x v="0"/>
    <x v="0"/>
    <s v="RF"/>
    <n v="84"/>
    <n v="95"/>
    <n v="70"/>
    <n v="90"/>
    <n v="86"/>
    <n v="97"/>
    <n v="93"/>
    <n v="94"/>
    <n v="87"/>
    <n v="96"/>
    <n v="91"/>
    <n v="86"/>
    <n v="91"/>
    <n v="95"/>
    <n v="95"/>
    <n v="85"/>
    <n v="68"/>
    <n v="72"/>
    <n v="59"/>
    <n v="94"/>
    <n v="48"/>
    <n v="22"/>
    <n v="94"/>
    <x v="0"/>
    <n v="75"/>
    <n v="96"/>
    <n v="33"/>
    <n v="28"/>
    <n v="26"/>
    <n v="6"/>
    <n v="11"/>
    <n v="15"/>
    <n v="14"/>
    <n v="8"/>
  </r>
  <r>
    <s v="Cristiano Ronaldo"/>
    <x v="1"/>
    <s v="Portugal"/>
    <x v="1"/>
    <x v="1"/>
    <x v="1"/>
    <s v="ST"/>
    <n v="84"/>
    <n v="94"/>
    <n v="89"/>
    <n v="81"/>
    <n v="87"/>
    <n v="88"/>
    <n v="81"/>
    <n v="76"/>
    <n v="77"/>
    <n v="94"/>
    <n v="89"/>
    <n v="91"/>
    <n v="87"/>
    <n v="96"/>
    <n v="70"/>
    <n v="95"/>
    <n v="95"/>
    <n v="88"/>
    <n v="79"/>
    <n v="93"/>
    <n v="63"/>
    <n v="29"/>
    <n v="95"/>
    <x v="1"/>
    <n v="85"/>
    <n v="95"/>
    <n v="28"/>
    <n v="31"/>
    <n v="23"/>
    <n v="7"/>
    <n v="11"/>
    <n v="15"/>
    <n v="14"/>
    <n v="11"/>
  </r>
  <r>
    <s v="Neymar Jr"/>
    <x v="2"/>
    <s v="Brazil"/>
    <x v="2"/>
    <x v="2"/>
    <x v="2"/>
    <s v="LW"/>
    <n v="79"/>
    <n v="87"/>
    <n v="62"/>
    <n v="84"/>
    <n v="84"/>
    <n v="96"/>
    <n v="88"/>
    <n v="87"/>
    <n v="78"/>
    <n v="95"/>
    <n v="94"/>
    <n v="90"/>
    <n v="96"/>
    <n v="94"/>
    <n v="84"/>
    <n v="80"/>
    <n v="61"/>
    <n v="81"/>
    <n v="49"/>
    <n v="82"/>
    <n v="56"/>
    <n v="36"/>
    <n v="89"/>
    <x v="2"/>
    <n v="81"/>
    <n v="94"/>
    <n v="27"/>
    <n v="24"/>
    <n v="33"/>
    <n v="9"/>
    <n v="9"/>
    <n v="15"/>
    <n v="15"/>
    <n v="11"/>
  </r>
  <r>
    <s v="De Gea"/>
    <x v="3"/>
    <s v="Spain"/>
    <x v="3"/>
    <x v="3"/>
    <x v="3"/>
    <s v="GK"/>
    <n v="17"/>
    <n v="13"/>
    <n v="21"/>
    <n v="50"/>
    <n v="13"/>
    <n v="18"/>
    <n v="21"/>
    <n v="19"/>
    <n v="51"/>
    <n v="42"/>
    <n v="57"/>
    <n v="58"/>
    <n v="60"/>
    <n v="90"/>
    <n v="43"/>
    <n v="31"/>
    <n v="67"/>
    <n v="43"/>
    <n v="64"/>
    <n v="12"/>
    <n v="38"/>
    <n v="30"/>
    <n v="12"/>
    <x v="3"/>
    <n v="40"/>
    <n v="68"/>
    <n v="15"/>
    <n v="21"/>
    <n v="13"/>
    <n v="90"/>
    <n v="85"/>
    <n v="87"/>
    <n v="88"/>
    <n v="94"/>
  </r>
  <r>
    <s v="K. De Bruyne"/>
    <x v="3"/>
    <s v="Belgium"/>
    <x v="4"/>
    <x v="4"/>
    <x v="4"/>
    <s v="RCM"/>
    <n v="93"/>
    <n v="82"/>
    <n v="55"/>
    <n v="92"/>
    <n v="82"/>
    <n v="86"/>
    <n v="85"/>
    <n v="83"/>
    <n v="91"/>
    <n v="91"/>
    <n v="78"/>
    <n v="76"/>
    <n v="79"/>
    <n v="91"/>
    <n v="77"/>
    <n v="91"/>
    <n v="63"/>
    <n v="90"/>
    <n v="75"/>
    <n v="91"/>
    <n v="76"/>
    <n v="61"/>
    <n v="87"/>
    <x v="0"/>
    <n v="79"/>
    <n v="88"/>
    <n v="68"/>
    <n v="58"/>
    <n v="51"/>
    <n v="15"/>
    <n v="13"/>
    <n v="5"/>
    <n v="10"/>
    <n v="13"/>
  </r>
  <r>
    <s v="E. Hazard"/>
    <x v="3"/>
    <s v="Belgium"/>
    <x v="5"/>
    <x v="5"/>
    <x v="5"/>
    <s v="LF"/>
    <n v="81"/>
    <n v="84"/>
    <n v="61"/>
    <n v="89"/>
    <n v="80"/>
    <n v="95"/>
    <n v="83"/>
    <n v="79"/>
    <n v="83"/>
    <n v="94"/>
    <n v="94"/>
    <n v="88"/>
    <n v="95"/>
    <n v="90"/>
    <n v="94"/>
    <n v="82"/>
    <n v="56"/>
    <n v="83"/>
    <n v="66"/>
    <n v="80"/>
    <n v="54"/>
    <n v="41"/>
    <n v="87"/>
    <x v="4"/>
    <n v="86"/>
    <n v="91"/>
    <n v="34"/>
    <n v="27"/>
    <n v="22"/>
    <n v="11"/>
    <n v="12"/>
    <n v="6"/>
    <n v="8"/>
    <n v="8"/>
  </r>
  <r>
    <s v="L. ModriÄ‡"/>
    <x v="4"/>
    <s v="Croatia"/>
    <x v="6"/>
    <x v="6"/>
    <x v="6"/>
    <s v="RCM"/>
    <n v="86"/>
    <n v="72"/>
    <n v="55"/>
    <n v="93"/>
    <n v="76"/>
    <n v="90"/>
    <n v="85"/>
    <n v="78"/>
    <n v="88"/>
    <n v="93"/>
    <n v="80"/>
    <n v="72"/>
    <n v="93"/>
    <n v="90"/>
    <n v="94"/>
    <n v="79"/>
    <n v="68"/>
    <n v="89"/>
    <n v="58"/>
    <n v="82"/>
    <n v="62"/>
    <n v="83"/>
    <n v="79"/>
    <x v="5"/>
    <n v="82"/>
    <n v="84"/>
    <n v="60"/>
    <n v="76"/>
    <n v="73"/>
    <n v="13"/>
    <n v="9"/>
    <n v="7"/>
    <n v="14"/>
    <n v="9"/>
  </r>
  <r>
    <s v="L. SuÃ¡rez"/>
    <x v="0"/>
    <s v="Uruguay"/>
    <x v="0"/>
    <x v="7"/>
    <x v="7"/>
    <s v="RS"/>
    <n v="77"/>
    <n v="93"/>
    <n v="77"/>
    <n v="82"/>
    <n v="88"/>
    <n v="87"/>
    <n v="86"/>
    <n v="84"/>
    <n v="64"/>
    <n v="90"/>
    <n v="86"/>
    <n v="75"/>
    <n v="82"/>
    <n v="92"/>
    <n v="83"/>
    <n v="86"/>
    <n v="69"/>
    <n v="90"/>
    <n v="83"/>
    <n v="85"/>
    <n v="87"/>
    <n v="41"/>
    <n v="92"/>
    <x v="6"/>
    <n v="85"/>
    <n v="85"/>
    <n v="62"/>
    <n v="45"/>
    <n v="38"/>
    <n v="27"/>
    <n v="25"/>
    <n v="31"/>
    <n v="33"/>
    <n v="37"/>
  </r>
  <r>
    <s v="Sergio Ramos"/>
    <x v="4"/>
    <s v="Spain"/>
    <x v="6"/>
    <x v="8"/>
    <x v="8"/>
    <s v="RCB"/>
    <n v="66"/>
    <n v="60"/>
    <n v="91"/>
    <n v="78"/>
    <n v="66"/>
    <n v="63"/>
    <n v="74"/>
    <n v="72"/>
    <n v="77"/>
    <n v="84"/>
    <n v="76"/>
    <n v="75"/>
    <n v="78"/>
    <n v="85"/>
    <n v="66"/>
    <n v="79"/>
    <n v="93"/>
    <n v="84"/>
    <n v="83"/>
    <n v="59"/>
    <n v="88"/>
    <n v="90"/>
    <n v="60"/>
    <x v="7"/>
    <n v="75"/>
    <n v="82"/>
    <n v="87"/>
    <n v="92"/>
    <n v="91"/>
    <n v="11"/>
    <n v="8"/>
    <n v="9"/>
    <n v="7"/>
    <n v="11"/>
  </r>
  <r>
    <s v="J. Oblak"/>
    <x v="5"/>
    <s v="Slovenia"/>
    <x v="7"/>
    <x v="9"/>
    <x v="9"/>
    <s v="GK"/>
    <n v="13"/>
    <n v="11"/>
    <n v="15"/>
    <n v="29"/>
    <n v="13"/>
    <n v="12"/>
    <n v="13"/>
    <n v="14"/>
    <n v="26"/>
    <n v="16"/>
    <n v="43"/>
    <n v="60"/>
    <n v="67"/>
    <n v="86"/>
    <n v="49"/>
    <n v="22"/>
    <n v="76"/>
    <n v="41"/>
    <n v="78"/>
    <n v="12"/>
    <n v="34"/>
    <n v="19"/>
    <n v="11"/>
    <x v="8"/>
    <n v="11"/>
    <n v="70"/>
    <n v="27"/>
    <n v="12"/>
    <n v="18"/>
    <n v="86"/>
    <n v="92"/>
    <n v="78"/>
    <n v="88"/>
    <n v="89"/>
  </r>
  <r>
    <s v="R. Lewandowski"/>
    <x v="6"/>
    <s v="Poland"/>
    <x v="8"/>
    <x v="1"/>
    <x v="10"/>
    <s v="ST"/>
    <n v="62"/>
    <n v="91"/>
    <n v="85"/>
    <n v="83"/>
    <n v="89"/>
    <n v="85"/>
    <n v="77"/>
    <n v="86"/>
    <n v="65"/>
    <n v="89"/>
    <n v="77"/>
    <n v="78"/>
    <n v="78"/>
    <n v="90"/>
    <n v="78"/>
    <n v="88"/>
    <n v="84"/>
    <n v="78"/>
    <n v="84"/>
    <n v="84"/>
    <n v="80"/>
    <n v="39"/>
    <n v="91"/>
    <x v="9"/>
    <n v="88"/>
    <n v="86"/>
    <n v="34"/>
    <n v="42"/>
    <n v="19"/>
    <n v="15"/>
    <n v="6"/>
    <n v="12"/>
    <n v="8"/>
    <n v="10"/>
  </r>
  <r>
    <s v="T. Kroos"/>
    <x v="7"/>
    <s v="Germany"/>
    <x v="6"/>
    <x v="10"/>
    <x v="4"/>
    <s v="LCM"/>
    <n v="88"/>
    <n v="76"/>
    <n v="54"/>
    <n v="92"/>
    <n v="82"/>
    <n v="81"/>
    <n v="86"/>
    <n v="84"/>
    <n v="93"/>
    <n v="90"/>
    <n v="64"/>
    <n v="62"/>
    <n v="70"/>
    <n v="89"/>
    <n v="71"/>
    <n v="87"/>
    <n v="30"/>
    <n v="75"/>
    <n v="73"/>
    <n v="92"/>
    <n v="60"/>
    <n v="82"/>
    <n v="79"/>
    <x v="10"/>
    <n v="73"/>
    <n v="85"/>
    <n v="72"/>
    <n v="79"/>
    <n v="69"/>
    <n v="10"/>
    <n v="11"/>
    <n v="13"/>
    <n v="7"/>
    <n v="10"/>
  </r>
  <r>
    <s v="D. GodÃ­n"/>
    <x v="4"/>
    <s v="Uruguay"/>
    <x v="7"/>
    <x v="11"/>
    <x v="11"/>
    <s v="CB"/>
    <n v="55"/>
    <n v="42"/>
    <n v="92"/>
    <n v="79"/>
    <n v="47"/>
    <n v="53"/>
    <n v="49"/>
    <n v="51"/>
    <n v="70"/>
    <n v="76"/>
    <n v="68"/>
    <n v="68"/>
    <n v="58"/>
    <n v="85"/>
    <n v="54"/>
    <n v="67"/>
    <n v="91"/>
    <n v="66"/>
    <n v="88"/>
    <n v="43"/>
    <n v="89"/>
    <n v="88"/>
    <n v="48"/>
    <x v="11"/>
    <n v="50"/>
    <n v="82"/>
    <n v="90"/>
    <n v="89"/>
    <n v="89"/>
    <n v="6"/>
    <n v="8"/>
    <n v="15"/>
    <n v="5"/>
    <n v="15"/>
  </r>
  <r>
    <s v="David Silva"/>
    <x v="4"/>
    <s v="Spain"/>
    <x v="4"/>
    <x v="12"/>
    <x v="12"/>
    <s v="LCM"/>
    <n v="84"/>
    <n v="76"/>
    <n v="54"/>
    <n v="93"/>
    <n v="82"/>
    <n v="89"/>
    <n v="82"/>
    <n v="77"/>
    <n v="87"/>
    <n v="94"/>
    <n v="70"/>
    <n v="64"/>
    <n v="92"/>
    <n v="90"/>
    <n v="90"/>
    <n v="72"/>
    <n v="64"/>
    <n v="78"/>
    <n v="52"/>
    <n v="75"/>
    <n v="57"/>
    <n v="50"/>
    <n v="89"/>
    <x v="5"/>
    <n v="75"/>
    <n v="93"/>
    <n v="59"/>
    <n v="53"/>
    <n v="29"/>
    <n v="6"/>
    <n v="15"/>
    <n v="7"/>
    <n v="6"/>
    <n v="12"/>
  </r>
  <r>
    <s v="N. KantÃ©"/>
    <x v="3"/>
    <s v="France"/>
    <x v="5"/>
    <x v="13"/>
    <x v="13"/>
    <s v="LDM"/>
    <n v="68"/>
    <n v="65"/>
    <n v="54"/>
    <n v="86"/>
    <n v="56"/>
    <n v="79"/>
    <n v="49"/>
    <n v="49"/>
    <n v="81"/>
    <n v="80"/>
    <n v="82"/>
    <n v="78"/>
    <n v="82"/>
    <n v="93"/>
    <n v="92"/>
    <n v="71"/>
    <n v="77"/>
    <n v="96"/>
    <n v="76"/>
    <n v="69"/>
    <n v="90"/>
    <n v="92"/>
    <n v="71"/>
    <x v="12"/>
    <n v="54"/>
    <n v="85"/>
    <n v="90"/>
    <n v="91"/>
    <n v="85"/>
    <n v="15"/>
    <n v="12"/>
    <n v="10"/>
    <n v="7"/>
    <n v="10"/>
  </r>
  <r>
    <s v="P. Dybala"/>
    <x v="8"/>
    <s v="Argentina"/>
    <x v="1"/>
    <x v="14"/>
    <x v="10"/>
    <s v="LF"/>
    <n v="82"/>
    <n v="84"/>
    <n v="68"/>
    <n v="87"/>
    <n v="88"/>
    <n v="92"/>
    <n v="88"/>
    <n v="88"/>
    <n v="75"/>
    <n v="92"/>
    <n v="87"/>
    <n v="83"/>
    <n v="91"/>
    <n v="86"/>
    <n v="85"/>
    <n v="82"/>
    <n v="75"/>
    <n v="80"/>
    <n v="65"/>
    <n v="88"/>
    <n v="48"/>
    <n v="32"/>
    <n v="84"/>
    <x v="2"/>
    <n v="86"/>
    <n v="84"/>
    <n v="23"/>
    <n v="20"/>
    <n v="20"/>
    <n v="5"/>
    <n v="4"/>
    <n v="4"/>
    <n v="5"/>
    <n v="8"/>
  </r>
  <r>
    <s v="H. Kane"/>
    <x v="8"/>
    <s v="England"/>
    <x v="9"/>
    <x v="15"/>
    <x v="10"/>
    <s v="ST"/>
    <n v="75"/>
    <n v="94"/>
    <n v="85"/>
    <n v="80"/>
    <n v="84"/>
    <n v="80"/>
    <n v="78"/>
    <n v="68"/>
    <n v="82"/>
    <n v="84"/>
    <n v="68"/>
    <n v="72"/>
    <n v="71"/>
    <n v="91"/>
    <n v="71"/>
    <n v="88"/>
    <n v="78"/>
    <n v="89"/>
    <n v="84"/>
    <n v="85"/>
    <n v="76"/>
    <n v="35"/>
    <n v="93"/>
    <x v="13"/>
    <n v="90"/>
    <n v="89"/>
    <n v="56"/>
    <n v="36"/>
    <n v="38"/>
    <n v="8"/>
    <n v="10"/>
    <n v="11"/>
    <n v="14"/>
    <n v="11"/>
  </r>
  <r>
    <s v="A. Griezmann"/>
    <x v="3"/>
    <s v="France"/>
    <x v="7"/>
    <x v="16"/>
    <x v="14"/>
    <s v="CAM"/>
    <n v="82"/>
    <n v="90"/>
    <n v="84"/>
    <n v="83"/>
    <n v="87"/>
    <n v="88"/>
    <n v="84"/>
    <n v="78"/>
    <n v="76"/>
    <n v="90"/>
    <n v="88"/>
    <n v="85"/>
    <n v="90"/>
    <n v="90"/>
    <n v="80"/>
    <n v="80"/>
    <n v="90"/>
    <n v="83"/>
    <n v="62"/>
    <n v="82"/>
    <n v="69"/>
    <n v="35"/>
    <n v="91"/>
    <x v="14"/>
    <n v="79"/>
    <n v="87"/>
    <n v="59"/>
    <n v="47"/>
    <n v="48"/>
    <n v="14"/>
    <n v="8"/>
    <n v="14"/>
    <n v="13"/>
    <n v="14"/>
  </r>
  <r>
    <s v="M. ter Stegen"/>
    <x v="2"/>
    <s v="Germany"/>
    <x v="0"/>
    <x v="17"/>
    <x v="15"/>
    <s v="GK"/>
    <n v="15"/>
    <n v="14"/>
    <n v="11"/>
    <n v="36"/>
    <n v="14"/>
    <n v="17"/>
    <n v="18"/>
    <n v="12"/>
    <n v="42"/>
    <n v="18"/>
    <n v="38"/>
    <n v="50"/>
    <n v="37"/>
    <n v="85"/>
    <n v="43"/>
    <n v="22"/>
    <n v="79"/>
    <n v="35"/>
    <n v="79"/>
    <n v="10"/>
    <n v="43"/>
    <n v="22"/>
    <n v="11"/>
    <x v="15"/>
    <n v="25"/>
    <n v="69"/>
    <n v="25"/>
    <n v="13"/>
    <n v="10"/>
    <n v="87"/>
    <n v="85"/>
    <n v="88"/>
    <n v="85"/>
    <n v="90"/>
  </r>
  <r>
    <s v="T. Courtois"/>
    <x v="2"/>
    <s v="Belgium"/>
    <x v="6"/>
    <x v="18"/>
    <x v="15"/>
    <s v="GK"/>
    <n v="14"/>
    <n v="14"/>
    <n v="13"/>
    <n v="33"/>
    <n v="12"/>
    <n v="13"/>
    <n v="19"/>
    <n v="20"/>
    <n v="35"/>
    <n v="23"/>
    <n v="46"/>
    <n v="52"/>
    <n v="61"/>
    <n v="84"/>
    <n v="45"/>
    <n v="36"/>
    <n v="68"/>
    <n v="38"/>
    <n v="70"/>
    <n v="17"/>
    <n v="23"/>
    <n v="15"/>
    <n v="13"/>
    <x v="16"/>
    <n v="27"/>
    <n v="66"/>
    <n v="20"/>
    <n v="18"/>
    <n v="16"/>
    <n v="85"/>
    <n v="91"/>
    <n v="72"/>
    <n v="86"/>
    <n v="88"/>
  </r>
  <r>
    <s v="Sergio Busquets"/>
    <x v="6"/>
    <s v="Spain"/>
    <x v="0"/>
    <x v="19"/>
    <x v="16"/>
    <s v="CDM"/>
    <n v="62"/>
    <n v="67"/>
    <n v="68"/>
    <n v="89"/>
    <n v="44"/>
    <n v="80"/>
    <n v="66"/>
    <n v="68"/>
    <n v="82"/>
    <n v="88"/>
    <n v="50"/>
    <n v="52"/>
    <n v="66"/>
    <n v="87"/>
    <n v="52"/>
    <n v="61"/>
    <n v="66"/>
    <n v="86"/>
    <n v="77"/>
    <n v="54"/>
    <n v="85"/>
    <n v="87"/>
    <n v="77"/>
    <x v="2"/>
    <n v="60"/>
    <n v="90"/>
    <n v="90"/>
    <n v="86"/>
    <n v="80"/>
    <n v="5"/>
    <n v="8"/>
    <n v="13"/>
    <n v="9"/>
    <n v="13"/>
  </r>
  <r>
    <s v="E. Cavani"/>
    <x v="0"/>
    <s v="Uruguay"/>
    <x v="2"/>
    <x v="12"/>
    <x v="17"/>
    <s v="LS"/>
    <n v="70"/>
    <n v="89"/>
    <n v="89"/>
    <n v="78"/>
    <n v="90"/>
    <n v="80"/>
    <n v="77"/>
    <n v="76"/>
    <n v="52"/>
    <n v="82"/>
    <n v="75"/>
    <n v="76"/>
    <n v="77"/>
    <n v="91"/>
    <n v="59"/>
    <n v="87"/>
    <n v="88"/>
    <n v="92"/>
    <n v="78"/>
    <n v="79"/>
    <n v="84"/>
    <n v="48"/>
    <n v="93"/>
    <x v="9"/>
    <n v="85"/>
    <n v="82"/>
    <n v="52"/>
    <n v="45"/>
    <n v="39"/>
    <n v="12"/>
    <n v="5"/>
    <n v="13"/>
    <n v="13"/>
    <n v="10"/>
  </r>
  <r>
    <s v="M. Neuer"/>
    <x v="4"/>
    <s v="Germany"/>
    <x v="8"/>
    <x v="20"/>
    <x v="18"/>
    <s v="GK"/>
    <n v="15"/>
    <n v="13"/>
    <n v="25"/>
    <n v="55"/>
    <n v="11"/>
    <n v="30"/>
    <n v="14"/>
    <n v="11"/>
    <n v="59"/>
    <n v="48"/>
    <n v="54"/>
    <n v="60"/>
    <n v="51"/>
    <n v="84"/>
    <n v="35"/>
    <n v="25"/>
    <n v="77"/>
    <n v="43"/>
    <n v="80"/>
    <n v="16"/>
    <n v="29"/>
    <n v="30"/>
    <n v="12"/>
    <x v="8"/>
    <n v="47"/>
    <n v="70"/>
    <n v="17"/>
    <n v="10"/>
    <n v="11"/>
    <n v="90"/>
    <n v="86"/>
    <n v="91"/>
    <n v="87"/>
    <n v="87"/>
  </r>
  <r>
    <s v="S. AgÃ¼ero"/>
    <x v="9"/>
    <s v="Argentina"/>
    <x v="4"/>
    <x v="21"/>
    <x v="19"/>
    <s v="ST"/>
    <n v="70"/>
    <n v="93"/>
    <n v="77"/>
    <n v="81"/>
    <n v="85"/>
    <n v="89"/>
    <n v="82"/>
    <n v="73"/>
    <n v="64"/>
    <n v="89"/>
    <n v="88"/>
    <n v="80"/>
    <n v="86"/>
    <n v="90"/>
    <n v="91"/>
    <n v="88"/>
    <n v="81"/>
    <n v="76"/>
    <n v="73"/>
    <n v="83"/>
    <n v="65"/>
    <n v="24"/>
    <n v="92"/>
    <x v="14"/>
    <n v="83"/>
    <n v="90"/>
    <n v="30"/>
    <n v="20"/>
    <n v="12"/>
    <n v="13"/>
    <n v="15"/>
    <n v="6"/>
    <n v="11"/>
    <n v="14"/>
  </r>
  <r>
    <s v="G. Chiellini"/>
    <x v="1"/>
    <s v="Italy"/>
    <x v="1"/>
    <x v="22"/>
    <x v="20"/>
    <s v="LCB"/>
    <n v="58"/>
    <n v="33"/>
    <n v="83"/>
    <n v="59"/>
    <n v="45"/>
    <n v="58"/>
    <n v="60"/>
    <n v="31"/>
    <n v="59"/>
    <n v="57"/>
    <n v="63"/>
    <n v="75"/>
    <n v="54"/>
    <n v="82"/>
    <n v="55"/>
    <n v="78"/>
    <n v="89"/>
    <n v="65"/>
    <n v="89"/>
    <n v="49"/>
    <n v="92"/>
    <n v="88"/>
    <n v="28"/>
    <x v="17"/>
    <n v="50"/>
    <n v="84"/>
    <n v="93"/>
    <n v="93"/>
    <n v="90"/>
    <n v="3"/>
    <n v="3"/>
    <n v="2"/>
    <n v="4"/>
    <n v="3"/>
  </r>
  <r>
    <s v="K. MbappÃ©"/>
    <x v="10"/>
    <s v="France"/>
    <x v="2"/>
    <x v="23"/>
    <x v="21"/>
    <s v="RM"/>
    <n v="77"/>
    <n v="88"/>
    <n v="77"/>
    <n v="82"/>
    <n v="78"/>
    <n v="90"/>
    <n v="77"/>
    <n v="63"/>
    <n v="73"/>
    <n v="91"/>
    <n v="96"/>
    <n v="96"/>
    <n v="92"/>
    <n v="87"/>
    <n v="83"/>
    <n v="79"/>
    <n v="75"/>
    <n v="83"/>
    <n v="71"/>
    <n v="78"/>
    <n v="62"/>
    <n v="38"/>
    <n v="88"/>
    <x v="1"/>
    <n v="70"/>
    <n v="86"/>
    <n v="34"/>
    <n v="34"/>
    <n v="32"/>
    <n v="13"/>
    <n v="5"/>
    <n v="7"/>
    <n v="11"/>
    <n v="6"/>
  </r>
  <r>
    <s v="M. Salah"/>
    <x v="2"/>
    <s v="Egypt"/>
    <x v="10"/>
    <x v="24"/>
    <x v="22"/>
    <s v="RM"/>
    <n v="78"/>
    <n v="90"/>
    <n v="59"/>
    <n v="82"/>
    <n v="73"/>
    <n v="89"/>
    <n v="83"/>
    <n v="60"/>
    <n v="72"/>
    <n v="88"/>
    <n v="94"/>
    <n v="91"/>
    <n v="91"/>
    <n v="91"/>
    <n v="88"/>
    <n v="77"/>
    <n v="68"/>
    <n v="84"/>
    <n v="70"/>
    <n v="83"/>
    <n v="63"/>
    <n v="55"/>
    <n v="90"/>
    <x v="1"/>
    <n v="61"/>
    <n v="91"/>
    <n v="38"/>
    <n v="43"/>
    <n v="41"/>
    <n v="14"/>
    <n v="14"/>
    <n v="9"/>
    <n v="11"/>
    <n v="14"/>
  </r>
  <r>
    <s v="Casemiro"/>
    <x v="2"/>
    <s v="Brazil"/>
    <x v="6"/>
    <x v="25"/>
    <x v="12"/>
    <s v="CDM"/>
    <n v="52"/>
    <n v="59"/>
    <n v="76"/>
    <n v="85"/>
    <n v="53"/>
    <n v="69"/>
    <n v="59"/>
    <n v="74"/>
    <n v="82"/>
    <n v="78"/>
    <n v="59"/>
    <n v="65"/>
    <n v="62"/>
    <n v="84"/>
    <n v="66"/>
    <n v="86"/>
    <n v="88"/>
    <n v="87"/>
    <n v="89"/>
    <n v="79"/>
    <n v="87"/>
    <n v="87"/>
    <n v="69"/>
    <x v="9"/>
    <n v="66"/>
    <n v="84"/>
    <n v="88"/>
    <n v="90"/>
    <n v="87"/>
    <n v="13"/>
    <n v="14"/>
    <n v="16"/>
    <n v="12"/>
    <n v="12"/>
  </r>
  <r>
    <s v="J. RodrÃ­guez"/>
    <x v="2"/>
    <s v="Colombia"/>
    <x v="8"/>
    <x v="24"/>
    <x v="16"/>
    <s v="LAM"/>
    <n v="90"/>
    <n v="83"/>
    <n v="62"/>
    <n v="89"/>
    <n v="90"/>
    <n v="85"/>
    <n v="89"/>
    <n v="86"/>
    <n v="83"/>
    <n v="90"/>
    <n v="73"/>
    <n v="67"/>
    <n v="83"/>
    <n v="85"/>
    <n v="76"/>
    <n v="86"/>
    <n v="54"/>
    <n v="70"/>
    <n v="68"/>
    <n v="92"/>
    <n v="64"/>
    <n v="55"/>
    <n v="80"/>
    <x v="4"/>
    <n v="81"/>
    <n v="87"/>
    <n v="52"/>
    <n v="41"/>
    <n v="44"/>
    <n v="15"/>
    <n v="15"/>
    <n v="15"/>
    <n v="5"/>
    <n v="14"/>
  </r>
  <r>
    <s v="L. Insigne"/>
    <x v="3"/>
    <s v="Italy"/>
    <x v="11"/>
    <x v="26"/>
    <x v="23"/>
    <s v="LW"/>
    <n v="86"/>
    <n v="77"/>
    <n v="56"/>
    <n v="85"/>
    <n v="74"/>
    <n v="90"/>
    <n v="87"/>
    <n v="77"/>
    <n v="78"/>
    <n v="93"/>
    <n v="94"/>
    <n v="86"/>
    <n v="94"/>
    <n v="83"/>
    <n v="93"/>
    <n v="75"/>
    <n v="53"/>
    <n v="75"/>
    <n v="44"/>
    <n v="84"/>
    <n v="34"/>
    <n v="26"/>
    <n v="83"/>
    <x v="2"/>
    <n v="61"/>
    <n v="83"/>
    <n v="51"/>
    <n v="24"/>
    <n v="22"/>
    <n v="8"/>
    <n v="4"/>
    <n v="14"/>
    <n v="9"/>
    <n v="10"/>
  </r>
  <r>
    <s v="Isco"/>
    <x v="2"/>
    <s v="Spain"/>
    <x v="6"/>
    <x v="27"/>
    <x v="16"/>
    <s v="LW"/>
    <n v="75"/>
    <n v="79"/>
    <n v="55"/>
    <n v="89"/>
    <n v="65"/>
    <n v="94"/>
    <n v="88"/>
    <n v="76"/>
    <n v="83"/>
    <n v="95"/>
    <n v="75"/>
    <n v="69"/>
    <n v="87"/>
    <n v="77"/>
    <n v="90"/>
    <n v="69"/>
    <n v="64"/>
    <n v="70"/>
    <n v="59"/>
    <n v="87"/>
    <n v="58"/>
    <n v="64"/>
    <n v="78"/>
    <x v="4"/>
    <n v="76"/>
    <n v="86"/>
    <n v="60"/>
    <n v="64"/>
    <n v="51"/>
    <n v="10"/>
    <n v="8"/>
    <n v="12"/>
    <n v="15"/>
    <n v="6"/>
  </r>
  <r>
    <s v="C. Eriksen"/>
    <x v="2"/>
    <s v="Denmark"/>
    <x v="9"/>
    <x v="27"/>
    <x v="10"/>
    <s v="CAM"/>
    <n v="88"/>
    <n v="80"/>
    <n v="52"/>
    <n v="91"/>
    <n v="77"/>
    <n v="84"/>
    <n v="86"/>
    <n v="87"/>
    <n v="88"/>
    <n v="91"/>
    <n v="75"/>
    <n v="73"/>
    <n v="79"/>
    <n v="88"/>
    <n v="81"/>
    <n v="84"/>
    <n v="50"/>
    <n v="92"/>
    <n v="58"/>
    <n v="89"/>
    <n v="46"/>
    <n v="56"/>
    <n v="83"/>
    <x v="18"/>
    <n v="67"/>
    <n v="88"/>
    <n v="59"/>
    <n v="57"/>
    <n v="22"/>
    <n v="9"/>
    <n v="14"/>
    <n v="7"/>
    <n v="7"/>
    <n v="6"/>
  </r>
  <r>
    <s v="Coutinho"/>
    <x v="2"/>
    <s v="Brazil"/>
    <x v="0"/>
    <x v="24"/>
    <x v="5"/>
    <s v="LW"/>
    <n v="79"/>
    <n v="79"/>
    <n v="48"/>
    <n v="88"/>
    <n v="75"/>
    <n v="91"/>
    <n v="91"/>
    <n v="86"/>
    <n v="83"/>
    <n v="92"/>
    <n v="89"/>
    <n v="75"/>
    <n v="92"/>
    <n v="83"/>
    <n v="93"/>
    <n v="83"/>
    <n v="59"/>
    <n v="79"/>
    <n v="61"/>
    <n v="93"/>
    <n v="59"/>
    <n v="49"/>
    <n v="84"/>
    <x v="19"/>
    <n v="70"/>
    <n v="85"/>
    <n v="55"/>
    <n v="54"/>
    <n v="47"/>
    <n v="12"/>
    <n v="7"/>
    <n v="9"/>
    <n v="14"/>
    <n v="6"/>
  </r>
  <r>
    <s v="P. Aubameyang"/>
    <x v="6"/>
    <s v="Gabon"/>
    <x v="12"/>
    <x v="28"/>
    <x v="24"/>
    <s v="LM"/>
    <n v="77"/>
    <n v="88"/>
    <n v="79"/>
    <n v="77"/>
    <n v="86"/>
    <n v="79"/>
    <n v="80"/>
    <n v="74"/>
    <n v="64"/>
    <n v="82"/>
    <n v="93"/>
    <n v="95"/>
    <n v="76"/>
    <n v="87"/>
    <n v="70"/>
    <n v="82"/>
    <n v="79"/>
    <n v="76"/>
    <n v="76"/>
    <n v="79"/>
    <n v="43"/>
    <n v="48"/>
    <n v="90"/>
    <x v="9"/>
    <n v="76"/>
    <n v="86"/>
    <n v="27"/>
    <n v="25"/>
    <n v="36"/>
    <n v="6"/>
    <n v="9"/>
    <n v="15"/>
    <n v="9"/>
    <n v="9"/>
  </r>
  <r>
    <s v="M. Hummels"/>
    <x v="6"/>
    <s v="Germany"/>
    <x v="8"/>
    <x v="29"/>
    <x v="25"/>
    <s v="LCB"/>
    <n v="64"/>
    <n v="55"/>
    <n v="87"/>
    <n v="81"/>
    <n v="60"/>
    <n v="68"/>
    <n v="65"/>
    <n v="53"/>
    <n v="85"/>
    <n v="81"/>
    <n v="53"/>
    <n v="64"/>
    <n v="63"/>
    <n v="87"/>
    <n v="60"/>
    <n v="71"/>
    <n v="68"/>
    <n v="66"/>
    <n v="84"/>
    <n v="51"/>
    <n v="69"/>
    <n v="92"/>
    <n v="56"/>
    <x v="12"/>
    <n v="68"/>
    <n v="91"/>
    <n v="88"/>
    <n v="90"/>
    <n v="88"/>
    <n v="15"/>
    <n v="6"/>
    <n v="10"/>
    <n v="5"/>
    <n v="6"/>
  </r>
  <r>
    <s v="Marcelo"/>
    <x v="9"/>
    <s v="Brazil"/>
    <x v="6"/>
    <x v="30"/>
    <x v="12"/>
    <s v="LB"/>
    <n v="90"/>
    <n v="70"/>
    <n v="75"/>
    <n v="84"/>
    <n v="54"/>
    <n v="90"/>
    <n v="85"/>
    <n v="67"/>
    <n v="76"/>
    <n v="92"/>
    <n v="83"/>
    <n v="82"/>
    <n v="86"/>
    <n v="88"/>
    <n v="86"/>
    <n v="83"/>
    <n v="76"/>
    <n v="91"/>
    <n v="78"/>
    <n v="70"/>
    <n v="84"/>
    <n v="85"/>
    <n v="85"/>
    <x v="1"/>
    <n v="59"/>
    <n v="86"/>
    <n v="71"/>
    <n v="85"/>
    <n v="86"/>
    <n v="12"/>
    <n v="5"/>
    <n v="5"/>
    <n v="5"/>
    <n v="9"/>
  </r>
  <r>
    <s v="G. Bale"/>
    <x v="7"/>
    <s v="Wales"/>
    <x v="6"/>
    <x v="12"/>
    <x v="4"/>
    <s v="ST"/>
    <n v="87"/>
    <n v="86"/>
    <n v="84"/>
    <n v="85"/>
    <n v="85"/>
    <n v="87"/>
    <n v="90"/>
    <n v="87"/>
    <n v="80"/>
    <n v="85"/>
    <n v="94"/>
    <n v="95"/>
    <n v="82"/>
    <n v="85"/>
    <n v="65"/>
    <n v="92"/>
    <n v="87"/>
    <n v="75"/>
    <n v="80"/>
    <n v="91"/>
    <n v="65"/>
    <n v="59"/>
    <n v="85"/>
    <x v="12"/>
    <n v="76"/>
    <n v="86"/>
    <n v="54"/>
    <n v="55"/>
    <n v="52"/>
    <n v="15"/>
    <n v="15"/>
    <n v="11"/>
    <n v="5"/>
    <n v="6"/>
  </r>
  <r>
    <s v="H. Lloris"/>
    <x v="0"/>
    <s v="France"/>
    <x v="9"/>
    <x v="31"/>
    <x v="26"/>
    <s v="GK"/>
    <n v="13"/>
    <n v="10"/>
    <n v="10"/>
    <n v="50"/>
    <n v="11"/>
    <n v="10"/>
    <n v="11"/>
    <n v="10"/>
    <n v="50"/>
    <n v="34"/>
    <n v="65"/>
    <n v="62"/>
    <n v="55"/>
    <n v="85"/>
    <n v="54"/>
    <n v="23"/>
    <n v="74"/>
    <n v="41"/>
    <n v="43"/>
    <n v="14"/>
    <n v="31"/>
    <n v="27"/>
    <n v="10"/>
    <x v="20"/>
    <n v="40"/>
    <n v="65"/>
    <n v="29"/>
    <n v="10"/>
    <n v="18"/>
    <n v="88"/>
    <n v="84"/>
    <n v="68"/>
    <n v="83"/>
    <n v="92"/>
  </r>
  <r>
    <s v="G. HiguaÃ­n"/>
    <x v="9"/>
    <s v="Argentina"/>
    <x v="13"/>
    <x v="32"/>
    <x v="27"/>
    <s v="LS"/>
    <n v="68"/>
    <n v="92"/>
    <n v="80"/>
    <n v="75"/>
    <n v="90"/>
    <n v="84"/>
    <n v="74"/>
    <n v="62"/>
    <n v="59"/>
    <n v="85"/>
    <n v="73"/>
    <n v="73"/>
    <n v="75"/>
    <n v="86"/>
    <n v="69"/>
    <n v="86"/>
    <n v="79"/>
    <n v="70"/>
    <n v="85"/>
    <n v="80"/>
    <n v="50"/>
    <n v="20"/>
    <n v="92"/>
    <x v="21"/>
    <n v="70"/>
    <n v="86"/>
    <n v="35"/>
    <n v="22"/>
    <n v="18"/>
    <n v="5"/>
    <n v="12"/>
    <n v="7"/>
    <n v="5"/>
    <n v="10"/>
  </r>
  <r>
    <s v="Thiago Silva"/>
    <x v="1"/>
    <s v="Brazil"/>
    <x v="2"/>
    <x v="33"/>
    <x v="23"/>
    <s v="RCB"/>
    <n v="60"/>
    <n v="38"/>
    <n v="81"/>
    <n v="80"/>
    <n v="63"/>
    <n v="62"/>
    <n v="61"/>
    <n v="64"/>
    <n v="80"/>
    <n v="80"/>
    <n v="70"/>
    <n v="72"/>
    <n v="68"/>
    <n v="82"/>
    <n v="68"/>
    <n v="71"/>
    <n v="90"/>
    <n v="74"/>
    <n v="82"/>
    <n v="68"/>
    <n v="76"/>
    <n v="89"/>
    <n v="59"/>
    <x v="22"/>
    <n v="60"/>
    <n v="81"/>
    <n v="88"/>
    <n v="89"/>
    <n v="85"/>
    <n v="9"/>
    <n v="12"/>
    <n v="5"/>
    <n v="9"/>
    <n v="10"/>
  </r>
  <r>
    <s v="S. HandanoviÄ"/>
    <x v="1"/>
    <s v="Slovenia"/>
    <x v="14"/>
    <x v="34"/>
    <x v="28"/>
    <s v="GK"/>
    <n v="12"/>
    <n v="10"/>
    <n v="10"/>
    <n v="36"/>
    <n v="12"/>
    <n v="12"/>
    <n v="12"/>
    <n v="14"/>
    <n v="34"/>
    <n v="16"/>
    <n v="51"/>
    <n v="55"/>
    <n v="47"/>
    <n v="83"/>
    <n v="36"/>
    <n v="22"/>
    <n v="78"/>
    <n v="41"/>
    <n v="71"/>
    <n v="19"/>
    <n v="25"/>
    <n v="22"/>
    <n v="12"/>
    <x v="23"/>
    <n v="23"/>
    <n v="69"/>
    <n v="25"/>
    <n v="10"/>
    <n v="13"/>
    <n v="87"/>
    <n v="86"/>
    <n v="69"/>
    <n v="89"/>
    <n v="89"/>
  </r>
  <r>
    <s v="G. Buffon"/>
    <x v="11"/>
    <s v="Italy"/>
    <x v="2"/>
    <x v="35"/>
    <x v="29"/>
    <s v="GK"/>
    <n v="13"/>
    <n v="15"/>
    <n v="13"/>
    <n v="37"/>
    <n v="17"/>
    <n v="26"/>
    <n v="20"/>
    <n v="13"/>
    <n v="35"/>
    <n v="28"/>
    <n v="49"/>
    <n v="43"/>
    <n v="55"/>
    <n v="79"/>
    <n v="49"/>
    <n v="39"/>
    <n v="75"/>
    <n v="39"/>
    <n v="69"/>
    <n v="13"/>
    <n v="38"/>
    <n v="28"/>
    <n v="12"/>
    <x v="17"/>
    <n v="22"/>
    <n v="70"/>
    <n v="13"/>
    <n v="11"/>
    <n v="11"/>
    <n v="88"/>
    <n v="87"/>
    <n v="74"/>
    <n v="90"/>
    <n v="83"/>
  </r>
  <r>
    <s v="S. Umtiti"/>
    <x v="8"/>
    <s v="France"/>
    <x v="0"/>
    <x v="32"/>
    <x v="10"/>
    <s v="CB"/>
    <n v="69"/>
    <n v="51"/>
    <n v="79"/>
    <n v="81"/>
    <n v="70"/>
    <n v="69"/>
    <n v="72"/>
    <n v="62"/>
    <n v="73"/>
    <n v="77"/>
    <n v="71"/>
    <n v="73"/>
    <n v="68"/>
    <n v="82"/>
    <n v="66"/>
    <n v="83"/>
    <n v="89"/>
    <n v="78"/>
    <n v="84"/>
    <n v="74"/>
    <n v="81"/>
    <n v="87"/>
    <n v="58"/>
    <x v="24"/>
    <n v="61"/>
    <n v="82"/>
    <n v="90"/>
    <n v="89"/>
    <n v="86"/>
    <n v="15"/>
    <n v="10"/>
    <n v="14"/>
    <n v="12"/>
    <n v="15"/>
  </r>
  <r>
    <s v="M. Icardi"/>
    <x v="5"/>
    <s v="Argentina"/>
    <x v="14"/>
    <x v="21"/>
    <x v="18"/>
    <s v="ST"/>
    <n v="46"/>
    <n v="91"/>
    <n v="91"/>
    <n v="73"/>
    <n v="85"/>
    <n v="77"/>
    <n v="58"/>
    <n v="45"/>
    <n v="54"/>
    <n v="81"/>
    <n v="77"/>
    <n v="78"/>
    <n v="76"/>
    <n v="88"/>
    <n v="76"/>
    <n v="84"/>
    <n v="94"/>
    <n v="72"/>
    <n v="76"/>
    <n v="70"/>
    <n v="56"/>
    <n v="22"/>
    <n v="92"/>
    <x v="25"/>
    <n v="82"/>
    <n v="85"/>
    <n v="45"/>
    <n v="24"/>
    <n v="20"/>
    <n v="13"/>
    <n v="9"/>
    <n v="5"/>
    <n v="7"/>
    <n v="9"/>
  </r>
  <r>
    <s v="K. Koulibaly"/>
    <x v="3"/>
    <s v="Senegal"/>
    <x v="11"/>
    <x v="8"/>
    <x v="30"/>
    <s v="LCB"/>
    <n v="30"/>
    <n v="19"/>
    <n v="81"/>
    <n v="66"/>
    <n v="14"/>
    <n v="66"/>
    <n v="28"/>
    <n v="28"/>
    <n v="56"/>
    <n v="60"/>
    <n v="68"/>
    <n v="75"/>
    <n v="50"/>
    <n v="80"/>
    <n v="40"/>
    <n v="55"/>
    <n v="81"/>
    <n v="71"/>
    <n v="94"/>
    <n v="15"/>
    <n v="87"/>
    <n v="88"/>
    <n v="24"/>
    <x v="26"/>
    <n v="33"/>
    <n v="78"/>
    <n v="91"/>
    <n v="88"/>
    <n v="86"/>
    <n v="7"/>
    <n v="11"/>
    <n v="7"/>
    <n v="13"/>
    <n v="5"/>
  </r>
  <r>
    <s v="P. Pogba"/>
    <x v="5"/>
    <s v="France"/>
    <x v="3"/>
    <x v="36"/>
    <x v="31"/>
    <s v="RDM"/>
    <n v="80"/>
    <n v="73"/>
    <n v="73"/>
    <n v="86"/>
    <n v="85"/>
    <n v="87"/>
    <n v="84"/>
    <n v="82"/>
    <n v="90"/>
    <n v="90"/>
    <n v="71"/>
    <n v="79"/>
    <n v="74"/>
    <n v="81"/>
    <n v="64"/>
    <n v="90"/>
    <n v="83"/>
    <n v="88"/>
    <n v="89"/>
    <n v="81"/>
    <n v="78"/>
    <n v="66"/>
    <n v="81"/>
    <x v="2"/>
    <n v="81"/>
    <n v="87"/>
    <n v="66"/>
    <n v="70"/>
    <n v="68"/>
    <n v="5"/>
    <n v="6"/>
    <n v="2"/>
    <n v="4"/>
    <n v="3"/>
  </r>
  <r>
    <s v="K. Navas"/>
    <x v="0"/>
    <s v="Costa Rica"/>
    <x v="6"/>
    <x v="37"/>
    <x v="32"/>
    <s v="GK"/>
    <n v="11"/>
    <n v="15"/>
    <n v="11"/>
    <n v="30"/>
    <n v="11"/>
    <n v="16"/>
    <n v="11"/>
    <n v="15"/>
    <n v="37"/>
    <n v="19"/>
    <n v="54"/>
    <n v="53"/>
    <n v="60"/>
    <n v="84"/>
    <n v="61"/>
    <n v="21"/>
    <n v="74"/>
    <n v="39"/>
    <n v="75"/>
    <n v="13"/>
    <n v="32"/>
    <n v="20"/>
    <n v="16"/>
    <x v="3"/>
    <n v="25"/>
    <n v="67"/>
    <n v="28"/>
    <n v="14"/>
    <n v="14"/>
    <n v="90"/>
    <n v="81"/>
    <n v="75"/>
    <n v="82"/>
    <n v="90"/>
  </r>
  <r>
    <s v="R. Lukaku"/>
    <x v="5"/>
    <s v="Belgium"/>
    <x v="3"/>
    <x v="38"/>
    <x v="33"/>
    <s v="ST"/>
    <n v="78"/>
    <n v="87"/>
    <n v="86"/>
    <n v="77"/>
    <n v="79"/>
    <n v="80"/>
    <n v="74"/>
    <n v="66"/>
    <n v="73"/>
    <n v="72"/>
    <n v="77"/>
    <n v="90"/>
    <n v="60"/>
    <n v="86"/>
    <n v="46"/>
    <n v="88"/>
    <n v="71"/>
    <n v="84"/>
    <n v="94"/>
    <n v="74"/>
    <n v="75"/>
    <n v="27"/>
    <n v="89"/>
    <x v="27"/>
    <n v="78"/>
    <n v="83"/>
    <n v="30"/>
    <n v="30"/>
    <n v="30"/>
    <n v="8"/>
    <n v="15"/>
    <n v="14"/>
    <n v="7"/>
    <n v="10"/>
  </r>
  <r>
    <s v="C. Immobile"/>
    <x v="7"/>
    <s v="Italy"/>
    <x v="15"/>
    <x v="39"/>
    <x v="30"/>
    <s v="ST"/>
    <n v="55"/>
    <n v="90"/>
    <n v="81"/>
    <n v="74"/>
    <n v="87"/>
    <n v="83"/>
    <n v="70"/>
    <n v="51"/>
    <n v="49"/>
    <n v="83"/>
    <n v="78"/>
    <n v="85"/>
    <n v="77"/>
    <n v="87"/>
    <n v="63"/>
    <n v="86"/>
    <n v="77"/>
    <n v="80"/>
    <n v="76"/>
    <n v="80"/>
    <n v="77"/>
    <n v="40"/>
    <n v="91"/>
    <x v="28"/>
    <n v="78"/>
    <n v="81"/>
    <n v="34"/>
    <n v="33"/>
    <n v="32"/>
    <n v="6"/>
    <n v="8"/>
    <n v="15"/>
    <n v="12"/>
    <n v="6"/>
  </r>
  <r>
    <s v="Jordi Alba"/>
    <x v="6"/>
    <s v="Spain"/>
    <x v="0"/>
    <x v="20"/>
    <x v="34"/>
    <s v="LB"/>
    <n v="87"/>
    <n v="73"/>
    <n v="70"/>
    <n v="84"/>
    <n v="60"/>
    <n v="80"/>
    <n v="80"/>
    <n v="63"/>
    <n v="74"/>
    <n v="84"/>
    <n v="93"/>
    <n v="93"/>
    <n v="90"/>
    <n v="83"/>
    <n v="85"/>
    <n v="64"/>
    <n v="81"/>
    <n v="91"/>
    <n v="61"/>
    <n v="66"/>
    <n v="75"/>
    <n v="84"/>
    <n v="79"/>
    <x v="8"/>
    <n v="59"/>
    <n v="79"/>
    <n v="72"/>
    <n v="84"/>
    <n v="85"/>
    <n v="13"/>
    <n v="15"/>
    <n v="13"/>
    <n v="6"/>
    <n v="13"/>
  </r>
  <r>
    <s v="D. Mertens"/>
    <x v="0"/>
    <s v="Belgium"/>
    <x v="11"/>
    <x v="40"/>
    <x v="35"/>
    <s v="RF"/>
    <n v="77"/>
    <n v="86"/>
    <n v="35"/>
    <n v="82"/>
    <n v="70"/>
    <n v="91"/>
    <n v="82"/>
    <n v="79"/>
    <n v="74"/>
    <n v="89"/>
    <n v="93"/>
    <n v="85"/>
    <n v="94"/>
    <n v="88"/>
    <n v="92"/>
    <n v="80"/>
    <n v="60"/>
    <n v="75"/>
    <n v="42"/>
    <n v="81"/>
    <n v="59"/>
    <n v="36"/>
    <n v="87"/>
    <x v="14"/>
    <n v="79"/>
    <n v="81"/>
    <n v="25"/>
    <n v="40"/>
    <n v="40"/>
    <n v="7"/>
    <n v="10"/>
    <n v="8"/>
    <n v="10"/>
    <n v="4"/>
  </r>
  <r>
    <s v="J. Vertonghen"/>
    <x v="0"/>
    <s v="Belgium"/>
    <x v="9"/>
    <x v="41"/>
    <x v="36"/>
    <s v="LCB"/>
    <n v="68"/>
    <n v="56"/>
    <n v="80"/>
    <n v="79"/>
    <n v="52"/>
    <n v="71"/>
    <n v="58"/>
    <n v="73"/>
    <n v="74"/>
    <n v="76"/>
    <n v="61"/>
    <n v="65"/>
    <n v="61"/>
    <n v="84"/>
    <n v="60"/>
    <n v="80"/>
    <n v="85"/>
    <n v="75"/>
    <n v="79"/>
    <n v="66"/>
    <n v="84"/>
    <n v="89"/>
    <n v="60"/>
    <x v="3"/>
    <n v="66"/>
    <n v="83"/>
    <n v="90"/>
    <n v="87"/>
    <n v="88"/>
    <n v="6"/>
    <n v="10"/>
    <n v="9"/>
    <n v="12"/>
    <n v="7"/>
  </r>
  <r>
    <s v="M. HamÅ¡Ã­k"/>
    <x v="9"/>
    <s v="Slovakia"/>
    <x v="11"/>
    <x v="42"/>
    <x v="11"/>
    <s v="LCM"/>
    <n v="78"/>
    <n v="79"/>
    <n v="74"/>
    <n v="88"/>
    <n v="79"/>
    <n v="86"/>
    <n v="80"/>
    <n v="72"/>
    <n v="83"/>
    <n v="87"/>
    <n v="69"/>
    <n v="68"/>
    <n v="76"/>
    <n v="88"/>
    <n v="66"/>
    <n v="82"/>
    <n v="71"/>
    <n v="84"/>
    <n v="67"/>
    <n v="83"/>
    <n v="56"/>
    <n v="72"/>
    <n v="88"/>
    <x v="10"/>
    <n v="70"/>
    <n v="84"/>
    <n v="75"/>
    <n v="73"/>
    <n v="62"/>
    <n v="8"/>
    <n v="6"/>
    <n v="4"/>
    <n v="14"/>
    <n v="14"/>
  </r>
  <r>
    <s v="I. RakitiÄ‡"/>
    <x v="9"/>
    <s v="Croatia"/>
    <x v="0"/>
    <x v="42"/>
    <x v="3"/>
    <s v="RCM"/>
    <n v="84"/>
    <n v="83"/>
    <n v="58"/>
    <n v="87"/>
    <n v="80"/>
    <n v="84"/>
    <n v="88"/>
    <n v="84"/>
    <n v="90"/>
    <n v="87"/>
    <n v="66"/>
    <n v="59"/>
    <n v="72"/>
    <n v="77"/>
    <n v="66"/>
    <n v="84"/>
    <n v="39"/>
    <n v="84"/>
    <n v="66"/>
    <n v="90"/>
    <n v="67"/>
    <n v="75"/>
    <n v="79"/>
    <x v="10"/>
    <n v="82"/>
    <n v="81"/>
    <n v="72"/>
    <n v="74"/>
    <n v="70"/>
    <n v="14"/>
    <n v="11"/>
    <n v="12"/>
    <n v="5"/>
    <n v="9"/>
  </r>
  <r>
    <s v="PiquÃ©"/>
    <x v="0"/>
    <s v="Spain"/>
    <x v="0"/>
    <x v="41"/>
    <x v="15"/>
    <s v="RCB"/>
    <n v="57"/>
    <n v="64"/>
    <n v="83"/>
    <n v="81"/>
    <n v="57"/>
    <n v="59"/>
    <n v="58"/>
    <n v="43"/>
    <n v="80"/>
    <n v="78"/>
    <n v="49"/>
    <n v="60"/>
    <n v="58"/>
    <n v="84"/>
    <n v="36"/>
    <n v="62"/>
    <n v="74"/>
    <n v="65"/>
    <n v="83"/>
    <n v="51"/>
    <n v="72"/>
    <n v="88"/>
    <n v="58"/>
    <x v="29"/>
    <n v="69"/>
    <n v="86"/>
    <n v="91"/>
    <n v="86"/>
    <n v="84"/>
    <n v="10"/>
    <n v="11"/>
    <n v="14"/>
    <n v="15"/>
    <n v="8"/>
  </r>
  <r>
    <s v="L. SanÃ©"/>
    <x v="12"/>
    <s v="Germany"/>
    <x v="4"/>
    <x v="43"/>
    <x v="32"/>
    <s v="LW"/>
    <n v="83"/>
    <n v="81"/>
    <n v="72"/>
    <n v="79"/>
    <n v="85"/>
    <n v="88"/>
    <n v="82"/>
    <n v="68"/>
    <n v="64"/>
    <n v="85"/>
    <n v="93"/>
    <n v="96"/>
    <n v="88"/>
    <n v="81"/>
    <n v="81"/>
    <n v="86"/>
    <n v="64"/>
    <n v="79"/>
    <n v="70"/>
    <n v="78"/>
    <n v="61"/>
    <n v="34"/>
    <n v="84"/>
    <x v="1"/>
    <n v="71"/>
    <n v="78"/>
    <n v="36"/>
    <n v="32"/>
    <n v="35"/>
    <n v="8"/>
    <n v="12"/>
    <n v="9"/>
    <n v="9"/>
    <n v="14"/>
  </r>
  <r>
    <s v="Bernardo Silva"/>
    <x v="13"/>
    <s v="Portugal"/>
    <x v="4"/>
    <x v="25"/>
    <x v="37"/>
    <s v="RW"/>
    <n v="85"/>
    <n v="75"/>
    <n v="51"/>
    <n v="85"/>
    <n v="69"/>
    <n v="92"/>
    <n v="83"/>
    <n v="67"/>
    <n v="79"/>
    <n v="91"/>
    <n v="84"/>
    <n v="74"/>
    <n v="90"/>
    <n v="82"/>
    <n v="88"/>
    <n v="70"/>
    <n v="50"/>
    <n v="78"/>
    <n v="48"/>
    <n v="72"/>
    <n v="58"/>
    <n v="49"/>
    <n v="83"/>
    <x v="10"/>
    <n v="68"/>
    <n v="85"/>
    <n v="49"/>
    <n v="44"/>
    <n v="35"/>
    <n v="9"/>
    <n v="10"/>
    <n v="14"/>
    <n v="12"/>
    <n v="9"/>
  </r>
  <r>
    <s v="Ederson"/>
    <x v="8"/>
    <s v="Brazil"/>
    <x v="4"/>
    <x v="44"/>
    <x v="11"/>
    <s v="GK"/>
    <n v="20"/>
    <n v="14"/>
    <n v="14"/>
    <n v="56"/>
    <n v="18"/>
    <n v="23"/>
    <n v="15"/>
    <n v="20"/>
    <n v="58"/>
    <n v="37"/>
    <n v="64"/>
    <n v="63"/>
    <n v="60"/>
    <n v="86"/>
    <n v="48"/>
    <n v="42"/>
    <n v="58"/>
    <n v="41"/>
    <n v="68"/>
    <n v="18"/>
    <n v="35"/>
    <n v="25"/>
    <n v="20"/>
    <x v="30"/>
    <n v="17"/>
    <n v="70"/>
    <n v="28"/>
    <n v="15"/>
    <n v="8"/>
    <n v="85"/>
    <n v="80"/>
    <n v="91"/>
    <n v="82"/>
    <n v="87"/>
  </r>
  <r>
    <s v="S. ManÃ©"/>
    <x v="2"/>
    <s v="Senegal"/>
    <x v="10"/>
    <x v="39"/>
    <x v="32"/>
    <s v="LM"/>
    <n v="73"/>
    <n v="84"/>
    <n v="62"/>
    <n v="79"/>
    <n v="71"/>
    <n v="87"/>
    <n v="74"/>
    <n v="64"/>
    <n v="71"/>
    <n v="86"/>
    <n v="95"/>
    <n v="93"/>
    <n v="91"/>
    <n v="86"/>
    <n v="86"/>
    <n v="82"/>
    <n v="75"/>
    <n v="84"/>
    <n v="67"/>
    <n v="74"/>
    <n v="73"/>
    <n v="35"/>
    <n v="87"/>
    <x v="1"/>
    <n v="71"/>
    <n v="80"/>
    <n v="42"/>
    <n v="42"/>
    <n v="38"/>
    <n v="10"/>
    <n v="10"/>
    <n v="15"/>
    <n v="7"/>
    <n v="14"/>
  </r>
  <r>
    <s v="V. van Dijk"/>
    <x v="2"/>
    <s v="Netherlands"/>
    <x v="10"/>
    <x v="45"/>
    <x v="23"/>
    <s v="LCB"/>
    <n v="53"/>
    <n v="52"/>
    <n v="82"/>
    <n v="76"/>
    <n v="45"/>
    <n v="70"/>
    <n v="60"/>
    <n v="70"/>
    <n v="78"/>
    <n v="73"/>
    <n v="74"/>
    <n v="77"/>
    <n v="61"/>
    <n v="85"/>
    <n v="49"/>
    <n v="81"/>
    <n v="85"/>
    <n v="71"/>
    <n v="92"/>
    <n v="64"/>
    <n v="81"/>
    <n v="86"/>
    <n v="41"/>
    <x v="31"/>
    <n v="62"/>
    <n v="83"/>
    <n v="88"/>
    <n v="89"/>
    <n v="84"/>
    <n v="13"/>
    <n v="10"/>
    <n v="13"/>
    <n v="11"/>
    <n v="11"/>
  </r>
  <r>
    <s v="R. Sterling"/>
    <x v="13"/>
    <s v="England"/>
    <x v="4"/>
    <x v="46"/>
    <x v="32"/>
    <s v="RW"/>
    <n v="77"/>
    <n v="77"/>
    <n v="38"/>
    <n v="84"/>
    <n v="67"/>
    <n v="88"/>
    <n v="70"/>
    <n v="63"/>
    <n v="69"/>
    <n v="87"/>
    <n v="95"/>
    <n v="92"/>
    <n v="93"/>
    <n v="87"/>
    <n v="93"/>
    <n v="73"/>
    <n v="57"/>
    <n v="78"/>
    <n v="52"/>
    <n v="73"/>
    <n v="38"/>
    <n v="30"/>
    <n v="87"/>
    <x v="9"/>
    <n v="69"/>
    <n v="77"/>
    <n v="47"/>
    <n v="58"/>
    <n v="54"/>
    <n v="15"/>
    <n v="12"/>
    <n v="12"/>
    <n v="15"/>
    <n v="9"/>
  </r>
  <r>
    <s v="Roberto Firmino"/>
    <x v="2"/>
    <s v="Brazil"/>
    <x v="10"/>
    <x v="47"/>
    <x v="32"/>
    <s v="CAM"/>
    <n v="72"/>
    <n v="87"/>
    <n v="77"/>
    <n v="86"/>
    <n v="81"/>
    <n v="87"/>
    <n v="80"/>
    <n v="65"/>
    <n v="75"/>
    <n v="88"/>
    <n v="78"/>
    <n v="77"/>
    <n v="80"/>
    <n v="86"/>
    <n v="81"/>
    <n v="81"/>
    <n v="81"/>
    <n v="90"/>
    <n v="74"/>
    <n v="76"/>
    <n v="73"/>
    <n v="58"/>
    <n v="87"/>
    <x v="32"/>
    <n v="72"/>
    <n v="87"/>
    <n v="60"/>
    <n v="64"/>
    <n v="42"/>
    <n v="8"/>
    <n v="11"/>
    <n v="9"/>
    <n v="6"/>
    <n v="10"/>
  </r>
  <r>
    <s v="R. Varane"/>
    <x v="5"/>
    <s v="France"/>
    <x v="6"/>
    <x v="48"/>
    <x v="31"/>
    <s v="RCB"/>
    <n v="36"/>
    <n v="40"/>
    <n v="83"/>
    <n v="75"/>
    <n v="42"/>
    <n v="57"/>
    <n v="46"/>
    <n v="54"/>
    <n v="76"/>
    <n v="77"/>
    <n v="83"/>
    <n v="85"/>
    <n v="63"/>
    <n v="83"/>
    <n v="40"/>
    <n v="52"/>
    <n v="79"/>
    <n v="73"/>
    <n v="84"/>
    <n v="53"/>
    <n v="77"/>
    <n v="82"/>
    <n v="44"/>
    <x v="33"/>
    <n v="43"/>
    <n v="82"/>
    <n v="87"/>
    <n v="88"/>
    <n v="87"/>
    <n v="11"/>
    <n v="11"/>
    <n v="9"/>
    <n v="5"/>
    <n v="14"/>
  </r>
  <r>
    <s v="M. Verratti"/>
    <x v="5"/>
    <s v="Italy"/>
    <x v="2"/>
    <x v="49"/>
    <x v="35"/>
    <s v="LCM"/>
    <n v="72"/>
    <n v="60"/>
    <n v="55"/>
    <n v="90"/>
    <n v="64"/>
    <n v="90"/>
    <n v="73"/>
    <n v="64"/>
    <n v="89"/>
    <n v="88"/>
    <n v="69"/>
    <n v="62"/>
    <n v="87"/>
    <n v="85"/>
    <n v="94"/>
    <n v="56"/>
    <n v="64"/>
    <n v="77"/>
    <n v="52"/>
    <n v="58"/>
    <n v="89"/>
    <n v="84"/>
    <n v="71"/>
    <x v="2"/>
    <n v="64"/>
    <n v="93"/>
    <n v="78"/>
    <n v="83"/>
    <n v="80"/>
    <n v="12"/>
    <n v="12"/>
    <n v="15"/>
    <n v="15"/>
    <n v="10"/>
  </r>
  <r>
    <s v="Alex Sandro"/>
    <x v="3"/>
    <s v="Brazil"/>
    <x v="1"/>
    <x v="50"/>
    <x v="25"/>
    <s v="LB"/>
    <n v="84"/>
    <n v="55"/>
    <n v="76"/>
    <n v="81"/>
    <n v="68"/>
    <n v="80"/>
    <n v="78"/>
    <n v="59"/>
    <n v="71"/>
    <n v="81"/>
    <n v="83"/>
    <n v="86"/>
    <n v="79"/>
    <n v="84"/>
    <n v="78"/>
    <n v="80"/>
    <n v="79"/>
    <n v="92"/>
    <n v="79"/>
    <n v="72"/>
    <n v="82"/>
    <n v="82"/>
    <n v="70"/>
    <x v="8"/>
    <n v="60"/>
    <n v="82"/>
    <n v="81"/>
    <n v="84"/>
    <n v="84"/>
    <n v="7"/>
    <n v="7"/>
    <n v="9"/>
    <n v="12"/>
    <n v="5"/>
  </r>
  <r>
    <s v="Douglas Costa"/>
    <x v="3"/>
    <s v="Brazil"/>
    <x v="1"/>
    <x v="42"/>
    <x v="38"/>
    <s v="LM"/>
    <n v="84"/>
    <n v="67"/>
    <n v="50"/>
    <n v="84"/>
    <n v="76"/>
    <n v="92"/>
    <n v="84"/>
    <n v="78"/>
    <n v="68"/>
    <n v="91"/>
    <n v="97"/>
    <n v="93"/>
    <n v="93"/>
    <n v="84"/>
    <n v="91"/>
    <n v="86"/>
    <n v="61"/>
    <n v="78"/>
    <n v="63"/>
    <n v="80"/>
    <n v="55"/>
    <n v="48"/>
    <n v="76"/>
    <x v="6"/>
    <n v="77"/>
    <n v="84"/>
    <n v="45"/>
    <n v="38"/>
    <n v="34"/>
    <n v="13"/>
    <n v="15"/>
    <n v="9"/>
    <n v="12"/>
    <n v="5"/>
  </r>
  <r>
    <s v="T. MÃ¼ller"/>
    <x v="7"/>
    <s v="Germany"/>
    <x v="8"/>
    <x v="40"/>
    <x v="35"/>
    <s v="CAM"/>
    <n v="79"/>
    <n v="87"/>
    <n v="82"/>
    <n v="83"/>
    <n v="84"/>
    <n v="75"/>
    <n v="81"/>
    <n v="59"/>
    <n v="72"/>
    <n v="82"/>
    <n v="73"/>
    <n v="75"/>
    <n v="75"/>
    <n v="91"/>
    <n v="72"/>
    <n v="78"/>
    <n v="81"/>
    <n v="87"/>
    <n v="68"/>
    <n v="80"/>
    <n v="57"/>
    <n v="58"/>
    <n v="92"/>
    <x v="32"/>
    <n v="60"/>
    <n v="83"/>
    <n v="44"/>
    <n v="41"/>
    <n v="44"/>
    <n v="6"/>
    <n v="7"/>
    <n v="11"/>
    <n v="14"/>
    <n v="14"/>
  </r>
  <r>
    <s v="Thiago"/>
    <x v="3"/>
    <s v="Spain"/>
    <x v="8"/>
    <x v="51"/>
    <x v="18"/>
    <s v="CM"/>
    <n v="72"/>
    <n v="69"/>
    <n v="54"/>
    <n v="90"/>
    <n v="90"/>
    <n v="90"/>
    <n v="85"/>
    <n v="77"/>
    <n v="87"/>
    <n v="90"/>
    <n v="78"/>
    <n v="69"/>
    <n v="90"/>
    <n v="84"/>
    <n v="86"/>
    <n v="75"/>
    <n v="75"/>
    <n v="75"/>
    <n v="59"/>
    <n v="79"/>
    <n v="57"/>
    <n v="78"/>
    <n v="79"/>
    <x v="10"/>
    <n v="75"/>
    <n v="85"/>
    <n v="67"/>
    <n v="63"/>
    <n v="65"/>
    <n v="6"/>
    <n v="11"/>
    <n v="7"/>
    <n v="9"/>
    <n v="13"/>
  </r>
  <r>
    <s v="M. Reus"/>
    <x v="6"/>
    <s v="Germany"/>
    <x v="16"/>
    <x v="52"/>
    <x v="21"/>
    <s v="LM"/>
    <n v="79"/>
    <n v="87"/>
    <n v="49"/>
    <n v="86"/>
    <n v="90"/>
    <n v="87"/>
    <n v="89"/>
    <n v="84"/>
    <n v="75"/>
    <n v="86"/>
    <n v="86"/>
    <n v="85"/>
    <n v="86"/>
    <n v="87"/>
    <n v="81"/>
    <n v="88"/>
    <n v="70"/>
    <n v="73"/>
    <n v="67"/>
    <n v="86"/>
    <n v="49"/>
    <n v="50"/>
    <n v="88"/>
    <x v="10"/>
    <n v="89"/>
    <n v="84"/>
    <n v="47"/>
    <n v="36"/>
    <n v="45"/>
    <n v="12"/>
    <n v="12"/>
    <n v="13"/>
    <n v="13"/>
    <n v="11"/>
  </r>
  <r>
    <s v="Azpilicueta"/>
    <x v="7"/>
    <s v="Spain"/>
    <x v="5"/>
    <x v="53"/>
    <x v="38"/>
    <s v="RB"/>
    <n v="81"/>
    <n v="46"/>
    <n v="76"/>
    <n v="81"/>
    <n v="51"/>
    <n v="69"/>
    <n v="68"/>
    <n v="58"/>
    <n v="80"/>
    <n v="77"/>
    <n v="76"/>
    <n v="76"/>
    <n v="72"/>
    <n v="88"/>
    <n v="73"/>
    <n v="68"/>
    <n v="76"/>
    <n v="87"/>
    <n v="71"/>
    <n v="60"/>
    <n v="82"/>
    <n v="89"/>
    <n v="62"/>
    <x v="21"/>
    <n v="66"/>
    <n v="78"/>
    <n v="88"/>
    <n v="90"/>
    <n v="86"/>
    <n v="13"/>
    <n v="9"/>
    <n v="10"/>
    <n v="6"/>
    <n v="5"/>
  </r>
  <r>
    <s v="L. Bonucci"/>
    <x v="0"/>
    <s v="Italy"/>
    <x v="1"/>
    <x v="34"/>
    <x v="25"/>
    <s v="RCB"/>
    <n v="44"/>
    <n v="48"/>
    <n v="86"/>
    <n v="77"/>
    <n v="58"/>
    <n v="69"/>
    <n v="56"/>
    <n v="61"/>
    <n v="85"/>
    <n v="75"/>
    <n v="57"/>
    <n v="65"/>
    <n v="60"/>
    <n v="84"/>
    <n v="52"/>
    <n v="74"/>
    <n v="85"/>
    <n v="71"/>
    <n v="83"/>
    <n v="65"/>
    <n v="82"/>
    <n v="90"/>
    <n v="38"/>
    <x v="21"/>
    <n v="70"/>
    <n v="86"/>
    <n v="90"/>
    <n v="86"/>
    <n v="80"/>
    <n v="2"/>
    <n v="2"/>
    <n v="3"/>
    <n v="2"/>
    <n v="4"/>
  </r>
  <r>
    <s v="T. Alderweireld"/>
    <x v="6"/>
    <s v="Belgium"/>
    <x v="9"/>
    <x v="54"/>
    <x v="26"/>
    <s v="RCB"/>
    <n v="64"/>
    <n v="45"/>
    <n v="82"/>
    <n v="79"/>
    <n v="38"/>
    <n v="62"/>
    <n v="63"/>
    <n v="69"/>
    <n v="85"/>
    <n v="74"/>
    <n v="61"/>
    <n v="66"/>
    <n v="60"/>
    <n v="86"/>
    <n v="50"/>
    <n v="78"/>
    <n v="84"/>
    <n v="74"/>
    <n v="79"/>
    <n v="65"/>
    <n v="80"/>
    <n v="87"/>
    <n v="58"/>
    <x v="30"/>
    <n v="58"/>
    <n v="81"/>
    <n v="90"/>
    <n v="91"/>
    <n v="86"/>
    <n v="16"/>
    <n v="6"/>
    <n v="14"/>
    <n v="16"/>
    <n v="14"/>
  </r>
  <r>
    <s v="M. PjaniÄ‡"/>
    <x v="7"/>
    <s v="Bosnia Herzegovina"/>
    <x v="1"/>
    <x v="11"/>
    <x v="37"/>
    <s v="CDM"/>
    <n v="80"/>
    <n v="60"/>
    <n v="60"/>
    <n v="89"/>
    <n v="72"/>
    <n v="86"/>
    <n v="86"/>
    <n v="92"/>
    <n v="85"/>
    <n v="89"/>
    <n v="66"/>
    <n v="66"/>
    <n v="77"/>
    <n v="84"/>
    <n v="79"/>
    <n v="78"/>
    <n v="61"/>
    <n v="78"/>
    <n v="66"/>
    <n v="82"/>
    <n v="70"/>
    <n v="78"/>
    <n v="70"/>
    <x v="34"/>
    <n v="79"/>
    <n v="86"/>
    <n v="75"/>
    <n v="74"/>
    <n v="70"/>
    <n v="7"/>
    <n v="7"/>
    <n v="13"/>
    <n v="7"/>
    <n v="8"/>
  </r>
  <r>
    <s v="M. Benatia"/>
    <x v="0"/>
    <s v="Morocco"/>
    <x v="1"/>
    <x v="34"/>
    <x v="25"/>
    <s v="CB"/>
    <n v="45"/>
    <n v="47"/>
    <n v="83"/>
    <n v="65"/>
    <n v="44"/>
    <n v="64"/>
    <n v="34"/>
    <n v="27"/>
    <n v="65"/>
    <n v="64"/>
    <n v="65"/>
    <n v="75"/>
    <n v="59"/>
    <n v="82"/>
    <n v="53"/>
    <n v="66"/>
    <n v="85"/>
    <n v="69"/>
    <n v="91"/>
    <n v="24"/>
    <n v="86"/>
    <n v="86"/>
    <n v="38"/>
    <x v="35"/>
    <n v="41"/>
    <n v="82"/>
    <n v="89"/>
    <n v="87"/>
    <n v="85"/>
    <n v="7"/>
    <n v="4"/>
    <n v="8"/>
    <n v="7"/>
    <n v="11"/>
  </r>
  <r>
    <s v="M. Ã–zil"/>
    <x v="6"/>
    <s v="Germany"/>
    <x v="12"/>
    <x v="52"/>
    <x v="39"/>
    <s v="CAM"/>
    <n v="83"/>
    <n v="73"/>
    <n v="54"/>
    <n v="89"/>
    <n v="80"/>
    <n v="84"/>
    <n v="84"/>
    <n v="77"/>
    <n v="82"/>
    <n v="90"/>
    <n v="72"/>
    <n v="69"/>
    <n v="79"/>
    <n v="84"/>
    <n v="70"/>
    <n v="70"/>
    <n v="48"/>
    <n v="69"/>
    <n v="57"/>
    <n v="75"/>
    <n v="48"/>
    <n v="24"/>
    <n v="83"/>
    <x v="18"/>
    <n v="67"/>
    <n v="82"/>
    <n v="24"/>
    <n v="16"/>
    <n v="19"/>
    <n v="6"/>
    <n v="14"/>
    <n v="10"/>
    <n v="6"/>
    <n v="14"/>
  </r>
  <r>
    <s v="Fernandinho"/>
    <x v="1"/>
    <s v="Brazil"/>
    <x v="4"/>
    <x v="55"/>
    <x v="40"/>
    <s v="CDM"/>
    <n v="68"/>
    <n v="69"/>
    <n v="63"/>
    <n v="85"/>
    <n v="74"/>
    <n v="77"/>
    <n v="70"/>
    <n v="72"/>
    <n v="81"/>
    <n v="82"/>
    <n v="68"/>
    <n v="67"/>
    <n v="72"/>
    <n v="86"/>
    <n v="78"/>
    <n v="83"/>
    <n v="76"/>
    <n v="79"/>
    <n v="76"/>
    <n v="78"/>
    <n v="87"/>
    <n v="88"/>
    <n v="70"/>
    <x v="36"/>
    <n v="61"/>
    <n v="79"/>
    <n v="85"/>
    <n v="85"/>
    <n v="80"/>
    <n v="12"/>
    <n v="11"/>
    <n v="5"/>
    <n v="13"/>
    <n v="7"/>
  </r>
  <r>
    <s v="Iniesta"/>
    <x v="14"/>
    <s v="Spain"/>
    <x v="17"/>
    <x v="56"/>
    <x v="41"/>
    <s v="LF"/>
    <n v="77"/>
    <n v="70"/>
    <n v="54"/>
    <n v="90"/>
    <n v="74"/>
    <n v="90"/>
    <n v="80"/>
    <n v="70"/>
    <n v="85"/>
    <n v="92"/>
    <n v="70"/>
    <n v="67"/>
    <n v="79"/>
    <n v="86"/>
    <n v="84"/>
    <n v="65"/>
    <n v="47"/>
    <n v="55"/>
    <n v="58"/>
    <n v="71"/>
    <n v="58"/>
    <n v="66"/>
    <n v="81"/>
    <x v="37"/>
    <n v="71"/>
    <n v="89"/>
    <n v="67"/>
    <n v="57"/>
    <n v="56"/>
    <n v="6"/>
    <n v="13"/>
    <n v="6"/>
    <n v="13"/>
    <n v="7"/>
  </r>
  <r>
    <s v="M. Å kriniar"/>
    <x v="13"/>
    <s v="Slovakia"/>
    <x v="14"/>
    <x v="42"/>
    <x v="42"/>
    <s v="LCB"/>
    <n v="40"/>
    <n v="42"/>
    <n v="80"/>
    <n v="70"/>
    <n v="40"/>
    <n v="59"/>
    <n v="34"/>
    <n v="30"/>
    <n v="68"/>
    <n v="67"/>
    <n v="70"/>
    <n v="73"/>
    <n v="48"/>
    <n v="81"/>
    <n v="48"/>
    <n v="50"/>
    <n v="78"/>
    <n v="77"/>
    <n v="83"/>
    <n v="30"/>
    <n v="86"/>
    <n v="86"/>
    <n v="30"/>
    <x v="38"/>
    <n v="56"/>
    <n v="80"/>
    <n v="92"/>
    <n v="88"/>
    <n v="82"/>
    <n v="10"/>
    <n v="13"/>
    <n v="12"/>
    <n v="8"/>
    <n v="12"/>
  </r>
  <r>
    <s v="S. MilinkoviÄ‡-SaviÄ‡"/>
    <x v="13"/>
    <s v="Serbia"/>
    <x v="15"/>
    <x v="57"/>
    <x v="43"/>
    <s v="CM"/>
    <n v="64"/>
    <n v="80"/>
    <n v="86"/>
    <n v="85"/>
    <n v="74"/>
    <n v="86"/>
    <n v="78"/>
    <n v="75"/>
    <n v="85"/>
    <n v="87"/>
    <n v="68"/>
    <n v="70"/>
    <n v="66"/>
    <n v="80"/>
    <n v="59"/>
    <n v="83"/>
    <n v="85"/>
    <n v="85"/>
    <n v="88"/>
    <n v="80"/>
    <n v="73"/>
    <n v="78"/>
    <n v="79"/>
    <x v="32"/>
    <n v="56"/>
    <n v="82"/>
    <n v="75"/>
    <n v="77"/>
    <n v="72"/>
    <n v="7"/>
    <n v="10"/>
    <n v="7"/>
    <n v="16"/>
    <n v="7"/>
  </r>
  <r>
    <s v="Marco Asensio"/>
    <x v="12"/>
    <s v="Spain"/>
    <x v="6"/>
    <x v="58"/>
    <x v="20"/>
    <s v="RW"/>
    <n v="82"/>
    <n v="82"/>
    <n v="50"/>
    <n v="83"/>
    <n v="79"/>
    <n v="86"/>
    <n v="83"/>
    <n v="76"/>
    <n v="82"/>
    <n v="85"/>
    <n v="85"/>
    <n v="82"/>
    <n v="79"/>
    <n v="82"/>
    <n v="76"/>
    <n v="86"/>
    <n v="58"/>
    <n v="76"/>
    <n v="61"/>
    <n v="88"/>
    <n v="45"/>
    <n v="45"/>
    <n v="82"/>
    <x v="6"/>
    <n v="62"/>
    <n v="83"/>
    <n v="40"/>
    <n v="42"/>
    <n v="39"/>
    <n v="13"/>
    <n v="9"/>
    <n v="6"/>
    <n v="12"/>
    <n v="10"/>
  </r>
  <r>
    <s v="N. Fekir"/>
    <x v="8"/>
    <s v="France"/>
    <x v="18"/>
    <x v="48"/>
    <x v="44"/>
    <s v="CAM"/>
    <n v="83"/>
    <n v="82"/>
    <n v="49"/>
    <n v="83"/>
    <n v="77"/>
    <n v="90"/>
    <n v="81"/>
    <n v="79"/>
    <n v="75"/>
    <n v="89"/>
    <n v="79"/>
    <n v="79"/>
    <n v="90"/>
    <n v="80"/>
    <n v="91"/>
    <n v="84"/>
    <n v="69"/>
    <n v="80"/>
    <n v="82"/>
    <n v="82"/>
    <n v="73"/>
    <n v="28"/>
    <n v="81"/>
    <x v="39"/>
    <n v="81"/>
    <n v="89"/>
    <n v="31"/>
    <n v="37"/>
    <n v="25"/>
    <n v="15"/>
    <n v="9"/>
    <n v="8"/>
    <n v="14"/>
    <n v="15"/>
  </r>
  <r>
    <s v="Alisson"/>
    <x v="5"/>
    <s v="Brazil"/>
    <x v="10"/>
    <x v="50"/>
    <x v="30"/>
    <s v="GK"/>
    <n v="17"/>
    <n v="13"/>
    <n v="19"/>
    <n v="45"/>
    <n v="20"/>
    <n v="27"/>
    <n v="19"/>
    <n v="18"/>
    <n v="44"/>
    <n v="30"/>
    <n v="54"/>
    <n v="45"/>
    <n v="40"/>
    <n v="84"/>
    <n v="37"/>
    <n v="21"/>
    <n v="52"/>
    <n v="32"/>
    <n v="78"/>
    <n v="14"/>
    <n v="27"/>
    <n v="11"/>
    <n v="13"/>
    <x v="40"/>
    <n v="23"/>
    <n v="65"/>
    <n v="15"/>
    <n v="19"/>
    <n v="16"/>
    <n v="83"/>
    <n v="81"/>
    <n v="85"/>
    <n v="84"/>
    <n v="88"/>
  </r>
  <r>
    <s v="J. Kimmich"/>
    <x v="13"/>
    <s v="Germany"/>
    <x v="8"/>
    <x v="59"/>
    <x v="44"/>
    <s v="RCM"/>
    <n v="90"/>
    <n v="66"/>
    <n v="74"/>
    <n v="85"/>
    <n v="61"/>
    <n v="80"/>
    <n v="81"/>
    <n v="61"/>
    <n v="80"/>
    <n v="85"/>
    <n v="78"/>
    <n v="68"/>
    <n v="84"/>
    <n v="85"/>
    <n v="83"/>
    <n v="75"/>
    <n v="79"/>
    <n v="85"/>
    <n v="65"/>
    <n v="69"/>
    <n v="74"/>
    <n v="79"/>
    <n v="80"/>
    <x v="12"/>
    <n v="44"/>
    <n v="82"/>
    <n v="75"/>
    <n v="81"/>
    <n v="79"/>
    <n v="8"/>
    <n v="15"/>
    <n v="7"/>
    <n v="15"/>
    <n v="15"/>
  </r>
  <r>
    <s v="SaÃºl"/>
    <x v="13"/>
    <s v="Spain"/>
    <x v="7"/>
    <x v="57"/>
    <x v="29"/>
    <s v="RCM"/>
    <n v="69"/>
    <n v="78"/>
    <n v="83"/>
    <n v="85"/>
    <n v="76"/>
    <n v="83"/>
    <n v="72"/>
    <n v="60"/>
    <n v="83"/>
    <n v="85"/>
    <n v="74"/>
    <n v="73"/>
    <n v="76"/>
    <n v="82"/>
    <n v="69"/>
    <n v="78"/>
    <n v="79"/>
    <n v="86"/>
    <n v="77"/>
    <n v="79"/>
    <n v="69"/>
    <n v="78"/>
    <n v="82"/>
    <x v="1"/>
    <n v="55"/>
    <n v="83"/>
    <n v="77"/>
    <n v="79"/>
    <n v="76"/>
    <n v="7"/>
    <n v="13"/>
    <n v="12"/>
    <n v="10"/>
    <n v="9"/>
  </r>
  <r>
    <s v="R. Mahrez"/>
    <x v="3"/>
    <s v="Algeria"/>
    <x v="4"/>
    <x v="59"/>
    <x v="10"/>
    <s v="RW"/>
    <n v="81"/>
    <n v="80"/>
    <n v="48"/>
    <n v="82"/>
    <n v="72"/>
    <n v="91"/>
    <n v="84"/>
    <n v="78"/>
    <n v="76"/>
    <n v="90"/>
    <n v="88"/>
    <n v="83"/>
    <n v="93"/>
    <n v="77"/>
    <n v="88"/>
    <n v="79"/>
    <n v="61"/>
    <n v="76"/>
    <n v="54"/>
    <n v="81"/>
    <n v="48"/>
    <n v="39"/>
    <n v="80"/>
    <x v="39"/>
    <n v="73"/>
    <n v="86"/>
    <n v="45"/>
    <n v="31"/>
    <n v="18"/>
    <n v="15"/>
    <n v="9"/>
    <n v="13"/>
    <n v="11"/>
    <n v="6"/>
  </r>
  <r>
    <s v="D. Alaba"/>
    <x v="2"/>
    <s v="Austria"/>
    <x v="8"/>
    <x v="20"/>
    <x v="28"/>
    <s v="LB"/>
    <n v="81"/>
    <n v="63"/>
    <n v="75"/>
    <n v="82"/>
    <n v="68"/>
    <n v="79"/>
    <n v="78"/>
    <n v="84"/>
    <n v="80"/>
    <n v="83"/>
    <n v="79"/>
    <n v="86"/>
    <n v="79"/>
    <n v="84"/>
    <n v="77"/>
    <n v="83"/>
    <n v="82"/>
    <n v="87"/>
    <n v="71"/>
    <n v="82"/>
    <n v="69"/>
    <n v="84"/>
    <n v="76"/>
    <x v="9"/>
    <n v="80"/>
    <n v="79"/>
    <n v="80"/>
    <n v="82"/>
    <n v="80"/>
    <n v="5"/>
    <n v="7"/>
    <n v="14"/>
    <n v="15"/>
    <n v="9"/>
  </r>
  <r>
    <s v="Koke"/>
    <x v="2"/>
    <s v="Spain"/>
    <x v="7"/>
    <x v="40"/>
    <x v="45"/>
    <s v="LM"/>
    <n v="86"/>
    <n v="72"/>
    <n v="61"/>
    <n v="90"/>
    <n v="56"/>
    <n v="82"/>
    <n v="85"/>
    <n v="76"/>
    <n v="89"/>
    <n v="86"/>
    <n v="71"/>
    <n v="68"/>
    <n v="74"/>
    <n v="85"/>
    <n v="78"/>
    <n v="84"/>
    <n v="61"/>
    <n v="90"/>
    <n v="79"/>
    <n v="81"/>
    <n v="71"/>
    <n v="66"/>
    <n v="84"/>
    <x v="2"/>
    <n v="59"/>
    <n v="78"/>
    <n v="80"/>
    <n v="69"/>
    <n v="51"/>
    <n v="14"/>
    <n v="12"/>
    <n v="5"/>
    <n v="10"/>
    <n v="13"/>
  </r>
  <r>
    <s v="A. Lacazette"/>
    <x v="3"/>
    <s v="France"/>
    <x v="12"/>
    <x v="40"/>
    <x v="37"/>
    <s v="ST"/>
    <n v="64"/>
    <n v="88"/>
    <n v="73"/>
    <n v="80"/>
    <n v="81"/>
    <n v="85"/>
    <n v="74"/>
    <n v="71"/>
    <n v="59"/>
    <n v="83"/>
    <n v="81"/>
    <n v="84"/>
    <n v="85"/>
    <n v="85"/>
    <n v="85"/>
    <n v="83"/>
    <n v="76"/>
    <n v="79"/>
    <n v="73"/>
    <n v="75"/>
    <n v="70"/>
    <n v="42"/>
    <n v="86"/>
    <x v="27"/>
    <n v="84"/>
    <n v="85"/>
    <n v="29"/>
    <n v="42"/>
    <n v="30"/>
    <n v="11"/>
    <n v="6"/>
    <n v="9"/>
    <n v="5"/>
    <n v="6"/>
  </r>
  <r>
    <s v="K. Manolas"/>
    <x v="3"/>
    <s v="Greece"/>
    <x v="19"/>
    <x v="60"/>
    <x v="46"/>
    <s v="LCB"/>
    <n v="27"/>
    <n v="10"/>
    <n v="80"/>
    <n v="60"/>
    <n v="16"/>
    <n v="54"/>
    <n v="30"/>
    <n v="10"/>
    <n v="61"/>
    <n v="65"/>
    <n v="80"/>
    <n v="85"/>
    <n v="68"/>
    <n v="85"/>
    <n v="59"/>
    <n v="40"/>
    <n v="86"/>
    <n v="76"/>
    <n v="82"/>
    <n v="12"/>
    <n v="86"/>
    <n v="86"/>
    <n v="25"/>
    <x v="41"/>
    <n v="26"/>
    <n v="79"/>
    <n v="86"/>
    <n v="87"/>
    <n v="89"/>
    <n v="8"/>
    <n v="6"/>
    <n v="8"/>
    <n v="15"/>
    <n v="12"/>
  </r>
  <r>
    <s v="N. Otamendi"/>
    <x v="9"/>
    <s v="Argentina"/>
    <x v="4"/>
    <x v="61"/>
    <x v="47"/>
    <s v="CB"/>
    <n v="52"/>
    <n v="54"/>
    <n v="85"/>
    <n v="75"/>
    <n v="57"/>
    <n v="51"/>
    <n v="50"/>
    <n v="39"/>
    <n v="72"/>
    <n v="70"/>
    <n v="57"/>
    <n v="61"/>
    <n v="64"/>
    <n v="79"/>
    <n v="62"/>
    <n v="69"/>
    <n v="92"/>
    <n v="67"/>
    <n v="80"/>
    <n v="56"/>
    <n v="91"/>
    <n v="84"/>
    <n v="51"/>
    <x v="42"/>
    <n v="45"/>
    <n v="80"/>
    <n v="83"/>
    <n v="85"/>
    <n v="84"/>
    <n v="12"/>
    <n v="5"/>
    <n v="8"/>
    <n v="11"/>
    <n v="12"/>
  </r>
  <r>
    <s v="Parejo"/>
    <x v="6"/>
    <s v="Spain"/>
    <x v="20"/>
    <x v="62"/>
    <x v="48"/>
    <s v="RCM"/>
    <n v="84"/>
    <n v="79"/>
    <n v="61"/>
    <n v="90"/>
    <n v="72"/>
    <n v="78"/>
    <n v="89"/>
    <n v="90"/>
    <n v="87"/>
    <n v="84"/>
    <n v="51"/>
    <n v="43"/>
    <n v="66"/>
    <n v="78"/>
    <n v="72"/>
    <n v="78"/>
    <n v="51"/>
    <n v="78"/>
    <n v="72"/>
    <n v="82"/>
    <n v="58"/>
    <n v="81"/>
    <n v="81"/>
    <x v="10"/>
    <n v="83"/>
    <n v="78"/>
    <n v="69"/>
    <n v="68"/>
    <n v="60"/>
    <n v="5"/>
    <n v="9"/>
    <n v="12"/>
    <n v="14"/>
    <n v="8"/>
  </r>
  <r>
    <s v="Paulinho"/>
    <x v="6"/>
    <s v="Brazil"/>
    <x v="21"/>
    <x v="62"/>
    <x v="49"/>
    <s v="LDM"/>
    <n v="64"/>
    <n v="81"/>
    <n v="85"/>
    <n v="84"/>
    <n v="75"/>
    <n v="82"/>
    <n v="66"/>
    <n v="72"/>
    <n v="80"/>
    <n v="84"/>
    <n v="73"/>
    <n v="73"/>
    <n v="69"/>
    <n v="84"/>
    <n v="66"/>
    <n v="83"/>
    <n v="90"/>
    <n v="92"/>
    <n v="81"/>
    <n v="80"/>
    <n v="81"/>
    <n v="81"/>
    <n v="84"/>
    <x v="43"/>
    <n v="71"/>
    <n v="80"/>
    <n v="75"/>
    <n v="81"/>
    <n v="73"/>
    <n v="16"/>
    <n v="16"/>
    <n v="11"/>
    <n v="6"/>
    <n v="8"/>
  </r>
  <r>
    <s v="W. SzczÄ™sny"/>
    <x v="7"/>
    <s v="Poland"/>
    <x v="1"/>
    <x v="63"/>
    <x v="11"/>
    <s v="GK"/>
    <n v="12"/>
    <n v="12"/>
    <n v="16"/>
    <n v="32"/>
    <n v="14"/>
    <n v="11"/>
    <n v="16"/>
    <n v="14"/>
    <n v="36"/>
    <n v="22"/>
    <n v="51"/>
    <n v="47"/>
    <n v="55"/>
    <n v="82"/>
    <n v="51"/>
    <n v="15"/>
    <n v="71"/>
    <n v="45"/>
    <n v="65"/>
    <n v="14"/>
    <n v="40"/>
    <n v="15"/>
    <n v="14"/>
    <x v="44"/>
    <n v="18"/>
    <n v="65"/>
    <n v="20"/>
    <n v="13"/>
    <n v="12"/>
    <n v="85"/>
    <n v="81"/>
    <n v="71"/>
    <n v="85"/>
    <n v="87"/>
  </r>
  <r>
    <s v="A. SÃ¡nchez"/>
    <x v="6"/>
    <s v="Chile"/>
    <x v="3"/>
    <x v="60"/>
    <x v="20"/>
    <s v="RW"/>
    <n v="77"/>
    <n v="80"/>
    <n v="73"/>
    <n v="77"/>
    <n v="83"/>
    <n v="87"/>
    <n v="79"/>
    <n v="78"/>
    <n v="75"/>
    <n v="86"/>
    <n v="86"/>
    <n v="79"/>
    <n v="90"/>
    <n v="83"/>
    <n v="87"/>
    <n v="84"/>
    <n v="87"/>
    <n v="83"/>
    <n v="72"/>
    <n v="81"/>
    <n v="79"/>
    <n v="46"/>
    <n v="84"/>
    <x v="1"/>
    <n v="77"/>
    <n v="84"/>
    <n v="38"/>
    <n v="44"/>
    <n v="35"/>
    <n v="10"/>
    <n v="10"/>
    <n v="15"/>
    <n v="12"/>
    <n v="13"/>
  </r>
  <r>
    <s v="Y. Brahimi"/>
    <x v="7"/>
    <s v="Algeria"/>
    <x v="22"/>
    <x v="54"/>
    <x v="50"/>
    <s v="LM"/>
    <n v="79"/>
    <n v="76"/>
    <n v="46"/>
    <n v="79"/>
    <n v="73"/>
    <n v="93"/>
    <n v="84"/>
    <n v="78"/>
    <n v="72"/>
    <n v="86"/>
    <n v="87"/>
    <n v="75"/>
    <n v="92"/>
    <n v="84"/>
    <n v="87"/>
    <n v="69"/>
    <n v="72"/>
    <n v="85"/>
    <n v="49"/>
    <n v="76"/>
    <n v="46"/>
    <n v="38"/>
    <n v="83"/>
    <x v="12"/>
    <n v="75"/>
    <n v="90"/>
    <n v="51"/>
    <n v="36"/>
    <n v="25"/>
    <n v="13"/>
    <n v="16"/>
    <n v="12"/>
    <n v="7"/>
    <n v="7"/>
  </r>
  <r>
    <s v="J. Boateng"/>
    <x v="6"/>
    <s v="Germany"/>
    <x v="8"/>
    <x v="34"/>
    <x v="30"/>
    <s v="RCB"/>
    <n v="69"/>
    <n v="34"/>
    <n v="85"/>
    <n v="75"/>
    <n v="52"/>
    <n v="64"/>
    <n v="53"/>
    <n v="31"/>
    <n v="83"/>
    <n v="70"/>
    <n v="67"/>
    <n v="72"/>
    <n v="56"/>
    <n v="82"/>
    <n v="52"/>
    <n v="78"/>
    <n v="74"/>
    <n v="69"/>
    <n v="91"/>
    <n v="58"/>
    <n v="81"/>
    <n v="81"/>
    <n v="47"/>
    <x v="36"/>
    <n v="46"/>
    <n v="84"/>
    <n v="84"/>
    <n v="87"/>
    <n v="87"/>
    <n v="7"/>
    <n v="12"/>
    <n v="15"/>
    <n v="6"/>
    <n v="5"/>
  </r>
  <r>
    <s v="A. Vidal"/>
    <x v="0"/>
    <s v="Chile"/>
    <x v="0"/>
    <x v="64"/>
    <x v="10"/>
    <s v="CAM"/>
    <n v="76"/>
    <n v="75"/>
    <n v="82"/>
    <n v="83"/>
    <n v="78"/>
    <n v="76"/>
    <n v="76"/>
    <n v="68"/>
    <n v="79"/>
    <n v="82"/>
    <n v="60"/>
    <n v="55"/>
    <n v="74"/>
    <n v="84"/>
    <n v="75"/>
    <n v="86"/>
    <n v="85"/>
    <n v="83"/>
    <n v="79"/>
    <n v="85"/>
    <n v="93"/>
    <n v="84"/>
    <n v="80"/>
    <x v="13"/>
    <n v="81"/>
    <n v="81"/>
    <n v="82"/>
    <n v="87"/>
    <n v="86"/>
    <n v="4"/>
    <n v="2"/>
    <n v="4"/>
    <n v="2"/>
    <n v="4"/>
  </r>
  <r>
    <s v="I. PeriÅ¡iÄ‡"/>
    <x v="6"/>
    <s v="Croatia"/>
    <x v="14"/>
    <x v="60"/>
    <x v="28"/>
    <s v="LM"/>
    <n v="83"/>
    <n v="79"/>
    <n v="80"/>
    <n v="81"/>
    <n v="81"/>
    <n v="84"/>
    <n v="73"/>
    <n v="75"/>
    <n v="77"/>
    <n v="85"/>
    <n v="84"/>
    <n v="88"/>
    <n v="78"/>
    <n v="81"/>
    <n v="74"/>
    <n v="84"/>
    <n v="84"/>
    <n v="89"/>
    <n v="78"/>
    <n v="79"/>
    <n v="65"/>
    <n v="69"/>
    <n v="85"/>
    <x v="12"/>
    <n v="76"/>
    <n v="80"/>
    <n v="64"/>
    <n v="52"/>
    <n v="54"/>
    <n v="6"/>
    <n v="7"/>
    <n v="10"/>
    <n v="9"/>
    <n v="6"/>
  </r>
  <r>
    <s v="E. DÅ¾eko"/>
    <x v="4"/>
    <s v="Bosnia Herzegovina"/>
    <x v="19"/>
    <x v="37"/>
    <x v="30"/>
    <s v="ST"/>
    <n v="63"/>
    <n v="89"/>
    <n v="84"/>
    <n v="77"/>
    <n v="77"/>
    <n v="76"/>
    <n v="65"/>
    <n v="54"/>
    <n v="72"/>
    <n v="84"/>
    <n v="65"/>
    <n v="66"/>
    <n v="57"/>
    <n v="83"/>
    <n v="36"/>
    <n v="86"/>
    <n v="66"/>
    <n v="76"/>
    <n v="80"/>
    <n v="79"/>
    <n v="51"/>
    <n v="50"/>
    <n v="89"/>
    <x v="21"/>
    <n v="67"/>
    <n v="83"/>
    <n v="58"/>
    <n v="28"/>
    <n v="16"/>
    <n v="9"/>
    <n v="11"/>
    <n v="13"/>
    <n v="15"/>
    <n v="15"/>
  </r>
  <r>
    <s v="S. Khedira"/>
    <x v="0"/>
    <s v="Germany"/>
    <x v="1"/>
    <x v="65"/>
    <x v="25"/>
    <s v="RCM"/>
    <n v="72"/>
    <n v="72"/>
    <n v="76"/>
    <n v="85"/>
    <n v="78"/>
    <n v="81"/>
    <n v="68"/>
    <n v="68"/>
    <n v="82"/>
    <n v="84"/>
    <n v="54"/>
    <n v="60"/>
    <n v="55"/>
    <n v="87"/>
    <n v="54"/>
    <n v="82"/>
    <n v="68"/>
    <n v="78"/>
    <n v="87"/>
    <n v="78"/>
    <n v="82"/>
    <n v="86"/>
    <n v="79"/>
    <x v="1"/>
    <n v="69"/>
    <n v="84"/>
    <n v="80"/>
    <n v="83"/>
    <n v="76"/>
    <n v="11"/>
    <n v="9"/>
    <n v="5"/>
    <n v="15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31C270-169B-4D94-BD31-C99035196A39}" name="PivotTable16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27" firstHeaderRow="1" firstDataRow="1" firstDataCol="1"/>
  <pivotFields count="41">
    <pivotField dataField="1" compact="0" outline="0" showAll="0"/>
    <pivotField compact="0" outline="0" showAll="0"/>
    <pivotField compact="0" outline="0" showAll="0"/>
    <pivotField axis="axisRow" compact="0" outline="0" showAll="0">
      <items count="26">
        <item x="12"/>
        <item m="1" x="23"/>
        <item x="16"/>
        <item x="5"/>
        <item x="0"/>
        <item m="1" x="24"/>
        <item x="22"/>
        <item x="21"/>
        <item x="14"/>
        <item x="1"/>
        <item x="15"/>
        <item x="10"/>
        <item x="4"/>
        <item x="3"/>
        <item x="13"/>
        <item x="11"/>
        <item x="18"/>
        <item x="2"/>
        <item x="6"/>
        <item x="19"/>
        <item x="9"/>
        <item x="20"/>
        <item x="17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24">
    <i>
      <x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Name" fld="0" subtotal="count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ACAF1-9DD5-4FD8-8AFF-42667AA020C1}" name="PivotTable15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0:B54" firstHeaderRow="1" firstDataRow="1" firstDataCol="1"/>
  <pivotFields count="41">
    <pivotField dataField="1" compact="0" outline="0" showAll="0"/>
    <pivotField compact="0" outline="0" showAll="0"/>
    <pivotField compact="0" outline="0" showAll="0"/>
    <pivotField axis="axisRow" compact="0" outline="0" showAll="0">
      <items count="26">
        <item x="12"/>
        <item m="1" x="23"/>
        <item x="16"/>
        <item x="5"/>
        <item x="0"/>
        <item m="1" x="24"/>
        <item x="22"/>
        <item x="21"/>
        <item x="14"/>
        <item x="1"/>
        <item x="15"/>
        <item x="10"/>
        <item x="4"/>
        <item x="3"/>
        <item x="13"/>
        <item x="11"/>
        <item x="18"/>
        <item x="2"/>
        <item x="6"/>
        <item x="19"/>
        <item x="9"/>
        <item x="20"/>
        <item x="17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24">
    <i>
      <x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Name" fld="0" subtotal="count" showDataAs="percentOfTotal" baseField="3" baseItem="1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16CF2F-F52D-4A00-A9BD-7D0AFE9678BD}" name="PivotTable18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24:B40" firstHeaderRow="1" firstDataRow="1" firstDataCol="1"/>
  <pivotFields count="41">
    <pivotField dataField="1" compact="0" outline="0" showAll="0"/>
    <pivotField axis="axisRow" compact="0" outline="0" showAll="0">
      <items count="16">
        <item x="10"/>
        <item x="12"/>
        <item x="13"/>
        <item x="8"/>
        <item x="5"/>
        <item x="2"/>
        <item x="3"/>
        <item x="7"/>
        <item x="6"/>
        <item x="9"/>
        <item x="0"/>
        <item x="4"/>
        <item x="1"/>
        <item x="14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Name" fld="0" subtotal="count" showDataAs="percentOfTotal" baseField="1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FBABC-DADF-4A16-86D4-6525B1429EDF}" name="PivotTable17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9" firstHeaderRow="1" firstDataRow="1" firstDataCol="1"/>
  <pivotFields count="41">
    <pivotField dataField="1" compact="0" outline="0" showAll="0"/>
    <pivotField axis="axisRow" compact="0" outline="0" showAll="0">
      <items count="16">
        <item x="10"/>
        <item x="12"/>
        <item x="13"/>
        <item x="8"/>
        <item x="5"/>
        <item x="2"/>
        <item x="3"/>
        <item x="7"/>
        <item x="6"/>
        <item x="9"/>
        <item x="0"/>
        <item x="4"/>
        <item x="1"/>
        <item x="14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Na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BBB04D-9ADC-451C-B036-C4A3B190503E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19:B32" firstHeaderRow="1" firstDataRow="1" firstDataCol="1"/>
  <pivotFields count="41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Name" fld="0" subtotal="count" showDataAs="percentOfCol" baseField="4" baseItem="1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FD28BB-A25B-47B7-8501-1AAA6F54406E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6" firstHeaderRow="1" firstDataRow="1" firstDataCol="1"/>
  <pivotFields count="41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35C95-5AF6-4A2E-9CC4-4E84E01E4787}" name="PivotTable6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14:B24" firstHeaderRow="1" firstDataRow="1" firstDataCol="1"/>
  <pivotFields count="41">
    <pivotField dataField="1" compact="0" outline="0" showAll="0"/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Percentage " fld="0" subtotal="count" showDataAs="percentOfCol" baseField="5" baseItem="1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31B08-C83A-4EED-9F2E-0444F485ACE4}" name="PivotTable5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11" firstHeaderRow="1" firstDataRow="1" firstDataCol="1"/>
  <pivotFields count="41">
    <pivotField dataField="1" compact="0" outline="0" showAll="0"/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5B3CB4-89FA-418E-85FA-4ADF2E9B6A50}" name="PivotTable19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62:K76" firstHeaderRow="1" firstDataRow="2" firstDataCol="1"/>
  <pivotFields count="41">
    <pivotField dataField="1" compact="0" outline="0" showAll="0"/>
    <pivotField axis="axisCol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 t="grand">
      <x/>
    </i>
  </colItems>
  <dataFields count="1">
    <dataField name="Count of Name" fld="0" subtotal="count" baseField="0" baseItem="0"/>
  </dataFields>
  <chartFormats count="9"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7563A-B5E1-4373-B607-EC59E9845411}" name="PivotTable8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9:K33" firstHeaderRow="1" firstDataRow="2" firstDataCol="1"/>
  <pivotFields count="41">
    <pivotField dataField="1" compact="0" outline="0" showAll="0"/>
    <pivotField axis="axisCol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 t="grand">
      <x/>
    </i>
  </colItems>
  <dataFields count="1">
    <dataField name="Count of Name" fld="0" subtotal="count" showDataAs="percentOfTotal" baseField="4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DDC05E-C994-4455-931D-FF67EE9A83FF}" name="PivotTable7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:K16" firstHeaderRow="1" firstDataRow="2" firstDataCol="1"/>
  <pivotFields count="41">
    <pivotField dataField="1" compact="0" outline="0" showAll="0"/>
    <pivotField axis="axisCol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 t="grand">
      <x/>
    </i>
  </colItems>
  <dataFields count="1">
    <dataField name="Count of Name" fld="0" subtotal="count" baseField="0" baseItem="0"/>
  </dataFields>
  <chartFormats count="9"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9A3E6-BF11-448C-BA50-7F4A936A2764}" name="PivotTable1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4:K29" firstHeaderRow="1" firstDataRow="2" firstDataCol="1"/>
  <pivotFields count="41">
    <pivotField dataField="1" compact="0" outline="0" showAll="0"/>
    <pivotField compact="0" outline="0" showAll="0"/>
    <pivotField compact="0" outline="0" showAll="0"/>
    <pivotField axis="axisRow" compact="0" outline="0" showAll="0">
      <items count="24">
        <item x="12"/>
        <item x="7"/>
        <item x="16"/>
        <item x="5"/>
        <item x="0"/>
        <item x="8"/>
        <item x="22"/>
        <item x="21"/>
        <item x="14"/>
        <item x="1"/>
        <item x="15"/>
        <item x="10"/>
        <item x="4"/>
        <item x="3"/>
        <item x="13"/>
        <item x="11"/>
        <item x="18"/>
        <item x="2"/>
        <item x="6"/>
        <item x="19"/>
        <item x="9"/>
        <item x="20"/>
        <item x="17"/>
        <item t="default"/>
      </items>
    </pivotField>
    <pivotField compact="0" outline="0" showAll="0"/>
    <pivotField axis="axisCol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5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Name" fld="0" subtotal="count" baseField="0" baseItem="0"/>
  </dataFields>
  <chartFormats count="6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5" count="1" selected="0">
            <x v="8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5" count="1" selected="0">
            <x v="2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5" count="1" selected="0">
            <x v="2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5" count="1" selected="0">
            <x v="3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5" count="1" selected="0">
            <x v="4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5" count="1" selected="0">
            <x v="5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5" count="1" selected="0">
            <x v="3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5" count="1" selected="0">
            <x v="4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5" count="1" selected="0">
            <x v="6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2"/>
          </reference>
          <reference field="5" count="1" selected="0">
            <x v="7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3"/>
          </reference>
          <reference field="5" count="1" selected="0">
            <x v="4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3"/>
          </reference>
          <reference field="5" count="1" selected="0">
            <x v="5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4"/>
          </reference>
          <reference field="5" count="1" selected="0">
            <x v="5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5"/>
          </reference>
          <reference field="5" count="1" selected="0">
            <x v="2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5"/>
          </reference>
          <reference field="5" count="1" selected="0">
            <x v="3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6"/>
          </reference>
          <reference field="5" count="1" selected="0">
            <x v="2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7"/>
          </reference>
          <reference field="5" count="1" selected="0">
            <x v="2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7"/>
          </reference>
          <reference field="5" count="1" selected="0">
            <x v="3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7"/>
          </reference>
          <reference field="5" count="1" selected="0">
            <x v="4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7"/>
          </reference>
          <reference field="5" count="1" selected="0">
            <x v="6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8"/>
          </reference>
          <reference field="5" count="1" selected="0">
            <x v="4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8"/>
          </reference>
          <reference field="5" count="1" selected="0">
            <x v="5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8"/>
          </reference>
          <reference field="5" count="1" selected="0">
            <x v="6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8"/>
          </reference>
          <reference field="5" count="1" selected="0">
            <x v="7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8"/>
          </reference>
          <reference field="5" count="1" selected="0">
            <x v="8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9"/>
          </reference>
          <reference field="5" count="1" selected="0">
            <x v="2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0"/>
          </reference>
          <reference field="5" count="1" selected="0">
            <x v="3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0"/>
          </reference>
          <reference field="5" count="1" selected="0">
            <x v="4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1"/>
          </reference>
          <reference field="5" count="1" selected="0">
            <x v="1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2"/>
          </reference>
          <reference field="5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E6470-D911-4890-A0DE-76AFD24BD464}" name="PivotTable1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7" firstHeaderRow="1" firstDataRow="2" firstDataCol="1"/>
  <pivotFields count="41"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DE406-D9F7-48A7-BC1E-47847D8699EB}">
  <dimension ref="A1:AP101"/>
  <sheetViews>
    <sheetView topLeftCell="B1" workbookViewId="0">
      <selection activeCell="E1" sqref="E1:E1048576"/>
    </sheetView>
  </sheetViews>
  <sheetFormatPr defaultRowHeight="15" x14ac:dyDescent="0.25"/>
  <cols>
    <col min="2" max="2" width="17.85546875" customWidth="1"/>
    <col min="3" max="3" width="13.28515625" customWidth="1"/>
    <col min="4" max="4" width="19.5703125" customWidth="1"/>
    <col min="5" max="5" width="16.28515625" customWidth="1"/>
    <col min="6" max="6" width="18.28515625" customWidth="1"/>
    <col min="7" max="7" width="17" customWidth="1"/>
    <col min="8" max="8" width="17.42578125" customWidth="1"/>
    <col min="16" max="16" width="17.28515625" customWidth="1"/>
    <col min="17" max="17" width="19" customWidth="1"/>
    <col min="18" max="18" width="18.85546875" customWidth="1"/>
    <col min="19" max="20" width="19.7109375" customWidth="1"/>
    <col min="31" max="31" width="17.5703125" customWidth="1"/>
  </cols>
  <sheetData>
    <row r="1" spans="1:42" x14ac:dyDescent="0.25">
      <c r="B1" t="s">
        <v>0</v>
      </c>
      <c r="C1" t="s">
        <v>260</v>
      </c>
      <c r="D1" t="s">
        <v>2</v>
      </c>
      <c r="E1" t="s">
        <v>259</v>
      </c>
      <c r="F1" t="s">
        <v>214</v>
      </c>
      <c r="G1" t="s">
        <v>215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</row>
    <row r="2" spans="1:42" x14ac:dyDescent="0.25">
      <c r="A2">
        <v>0</v>
      </c>
      <c r="B2" t="s">
        <v>39</v>
      </c>
      <c r="C2">
        <v>31</v>
      </c>
      <c r="D2" t="s">
        <v>40</v>
      </c>
      <c r="E2" t="s">
        <v>41</v>
      </c>
      <c r="F2">
        <v>110500000</v>
      </c>
      <c r="G2">
        <v>565000</v>
      </c>
      <c r="H2" t="s">
        <v>42</v>
      </c>
      <c r="I2">
        <v>84</v>
      </c>
      <c r="J2">
        <v>95</v>
      </c>
      <c r="K2">
        <v>70</v>
      </c>
      <c r="L2">
        <v>90</v>
      </c>
      <c r="M2">
        <v>86</v>
      </c>
      <c r="N2">
        <v>97</v>
      </c>
      <c r="O2">
        <v>93</v>
      </c>
      <c r="P2">
        <v>94</v>
      </c>
      <c r="Q2">
        <v>87</v>
      </c>
      <c r="R2">
        <v>96</v>
      </c>
      <c r="S2">
        <v>91</v>
      </c>
      <c r="T2">
        <v>86</v>
      </c>
      <c r="U2">
        <v>91</v>
      </c>
      <c r="V2">
        <v>95</v>
      </c>
      <c r="W2">
        <v>95</v>
      </c>
      <c r="X2">
        <v>85</v>
      </c>
      <c r="Y2">
        <v>68</v>
      </c>
      <c r="Z2">
        <v>72</v>
      </c>
      <c r="AA2">
        <v>59</v>
      </c>
      <c r="AB2">
        <v>94</v>
      </c>
      <c r="AC2">
        <v>48</v>
      </c>
      <c r="AD2">
        <v>22</v>
      </c>
      <c r="AE2">
        <v>94</v>
      </c>
      <c r="AF2">
        <v>94</v>
      </c>
      <c r="AG2">
        <v>75</v>
      </c>
      <c r="AH2">
        <v>96</v>
      </c>
      <c r="AI2">
        <v>33</v>
      </c>
      <c r="AJ2">
        <v>28</v>
      </c>
      <c r="AK2">
        <v>26</v>
      </c>
      <c r="AL2">
        <v>6</v>
      </c>
      <c r="AM2">
        <v>11</v>
      </c>
      <c r="AN2">
        <v>15</v>
      </c>
      <c r="AO2">
        <v>14</v>
      </c>
      <c r="AP2">
        <v>8</v>
      </c>
    </row>
    <row r="3" spans="1:42" x14ac:dyDescent="0.25">
      <c r="A3">
        <v>1</v>
      </c>
      <c r="B3" t="s">
        <v>43</v>
      </c>
      <c r="C3">
        <v>33</v>
      </c>
      <c r="D3" t="s">
        <v>44</v>
      </c>
      <c r="E3" t="s">
        <v>45</v>
      </c>
      <c r="F3">
        <v>77000000</v>
      </c>
      <c r="G3">
        <v>405000</v>
      </c>
      <c r="H3" t="s">
        <v>46</v>
      </c>
      <c r="I3">
        <v>84</v>
      </c>
      <c r="J3">
        <v>94</v>
      </c>
      <c r="K3">
        <v>89</v>
      </c>
      <c r="L3">
        <v>81</v>
      </c>
      <c r="M3">
        <v>87</v>
      </c>
      <c r="N3">
        <v>88</v>
      </c>
      <c r="O3">
        <v>81</v>
      </c>
      <c r="P3">
        <v>76</v>
      </c>
      <c r="Q3">
        <v>77</v>
      </c>
      <c r="R3">
        <v>94</v>
      </c>
      <c r="S3">
        <v>89</v>
      </c>
      <c r="T3">
        <v>91</v>
      </c>
      <c r="U3">
        <v>87</v>
      </c>
      <c r="V3">
        <v>96</v>
      </c>
      <c r="W3">
        <v>70</v>
      </c>
      <c r="X3">
        <v>95</v>
      </c>
      <c r="Y3">
        <v>95</v>
      </c>
      <c r="Z3">
        <v>88</v>
      </c>
      <c r="AA3">
        <v>79</v>
      </c>
      <c r="AB3">
        <v>93</v>
      </c>
      <c r="AC3">
        <v>63</v>
      </c>
      <c r="AD3">
        <v>29</v>
      </c>
      <c r="AE3">
        <v>95</v>
      </c>
      <c r="AF3">
        <v>82</v>
      </c>
      <c r="AG3">
        <v>85</v>
      </c>
      <c r="AH3">
        <v>95</v>
      </c>
      <c r="AI3">
        <v>28</v>
      </c>
      <c r="AJ3">
        <v>31</v>
      </c>
      <c r="AK3">
        <v>23</v>
      </c>
      <c r="AL3">
        <v>7</v>
      </c>
      <c r="AM3">
        <v>11</v>
      </c>
      <c r="AN3">
        <v>15</v>
      </c>
      <c r="AO3">
        <v>14</v>
      </c>
      <c r="AP3">
        <v>11</v>
      </c>
    </row>
    <row r="4" spans="1:42" x14ac:dyDescent="0.25">
      <c r="A4">
        <v>2</v>
      </c>
      <c r="B4" t="s">
        <v>47</v>
      </c>
      <c r="C4">
        <v>26</v>
      </c>
      <c r="D4" t="s">
        <v>48</v>
      </c>
      <c r="E4" t="s">
        <v>49</v>
      </c>
      <c r="F4">
        <v>118500000</v>
      </c>
      <c r="G4">
        <v>290000</v>
      </c>
      <c r="H4" t="s">
        <v>50</v>
      </c>
      <c r="I4">
        <v>79</v>
      </c>
      <c r="J4">
        <v>87</v>
      </c>
      <c r="K4">
        <v>62</v>
      </c>
      <c r="L4">
        <v>84</v>
      </c>
      <c r="M4">
        <v>84</v>
      </c>
      <c r="N4">
        <v>96</v>
      </c>
      <c r="O4">
        <v>88</v>
      </c>
      <c r="P4">
        <v>87</v>
      </c>
      <c r="Q4">
        <v>78</v>
      </c>
      <c r="R4">
        <v>95</v>
      </c>
      <c r="S4">
        <v>94</v>
      </c>
      <c r="T4">
        <v>90</v>
      </c>
      <c r="U4">
        <v>96</v>
      </c>
      <c r="V4">
        <v>94</v>
      </c>
      <c r="W4">
        <v>84</v>
      </c>
      <c r="X4">
        <v>80</v>
      </c>
      <c r="Y4">
        <v>61</v>
      </c>
      <c r="Z4">
        <v>81</v>
      </c>
      <c r="AA4">
        <v>49</v>
      </c>
      <c r="AB4">
        <v>82</v>
      </c>
      <c r="AC4">
        <v>56</v>
      </c>
      <c r="AD4">
        <v>36</v>
      </c>
      <c r="AE4">
        <v>89</v>
      </c>
      <c r="AF4">
        <v>87</v>
      </c>
      <c r="AG4">
        <v>81</v>
      </c>
      <c r="AH4">
        <v>94</v>
      </c>
      <c r="AI4">
        <v>27</v>
      </c>
      <c r="AJ4">
        <v>24</v>
      </c>
      <c r="AK4">
        <v>33</v>
      </c>
      <c r="AL4">
        <v>9</v>
      </c>
      <c r="AM4">
        <v>9</v>
      </c>
      <c r="AN4">
        <v>15</v>
      </c>
      <c r="AO4">
        <v>15</v>
      </c>
      <c r="AP4">
        <v>11</v>
      </c>
    </row>
    <row r="5" spans="1:42" x14ac:dyDescent="0.25">
      <c r="A5">
        <v>3</v>
      </c>
      <c r="B5" t="s">
        <v>51</v>
      </c>
      <c r="C5">
        <v>27</v>
      </c>
      <c r="D5" t="s">
        <v>52</v>
      </c>
      <c r="E5" t="s">
        <v>53</v>
      </c>
      <c r="F5">
        <v>72000000</v>
      </c>
      <c r="G5">
        <v>260000</v>
      </c>
      <c r="H5" t="s">
        <v>54</v>
      </c>
      <c r="I5">
        <v>17</v>
      </c>
      <c r="J5">
        <v>13</v>
      </c>
      <c r="K5">
        <v>21</v>
      </c>
      <c r="L5">
        <v>50</v>
      </c>
      <c r="M5">
        <v>13</v>
      </c>
      <c r="N5">
        <v>18</v>
      </c>
      <c r="O5">
        <v>21</v>
      </c>
      <c r="P5">
        <v>19</v>
      </c>
      <c r="Q5">
        <v>51</v>
      </c>
      <c r="R5">
        <v>42</v>
      </c>
      <c r="S5">
        <v>57</v>
      </c>
      <c r="T5">
        <v>58</v>
      </c>
      <c r="U5">
        <v>60</v>
      </c>
      <c r="V5">
        <v>90</v>
      </c>
      <c r="W5">
        <v>43</v>
      </c>
      <c r="X5">
        <v>31</v>
      </c>
      <c r="Y5">
        <v>67</v>
      </c>
      <c r="Z5">
        <v>43</v>
      </c>
      <c r="AA5">
        <v>64</v>
      </c>
      <c r="AB5">
        <v>12</v>
      </c>
      <c r="AC5">
        <v>38</v>
      </c>
      <c r="AD5">
        <v>30</v>
      </c>
      <c r="AE5">
        <v>12</v>
      </c>
      <c r="AF5">
        <v>68</v>
      </c>
      <c r="AG5">
        <v>40</v>
      </c>
      <c r="AH5">
        <v>68</v>
      </c>
      <c r="AI5">
        <v>15</v>
      </c>
      <c r="AJ5">
        <v>21</v>
      </c>
      <c r="AK5">
        <v>13</v>
      </c>
      <c r="AL5">
        <v>90</v>
      </c>
      <c r="AM5">
        <v>85</v>
      </c>
      <c r="AN5">
        <v>87</v>
      </c>
      <c r="AO5">
        <v>88</v>
      </c>
      <c r="AP5">
        <v>94</v>
      </c>
    </row>
    <row r="6" spans="1:42" x14ac:dyDescent="0.25">
      <c r="A6">
        <v>4</v>
      </c>
      <c r="B6" t="s">
        <v>55</v>
      </c>
      <c r="C6">
        <v>27</v>
      </c>
      <c r="D6" t="s">
        <v>56</v>
      </c>
      <c r="E6" t="s">
        <v>57</v>
      </c>
      <c r="F6">
        <v>102000000</v>
      </c>
      <c r="G6">
        <v>355000</v>
      </c>
      <c r="H6" t="s">
        <v>58</v>
      </c>
      <c r="I6">
        <v>93</v>
      </c>
      <c r="J6">
        <v>82</v>
      </c>
      <c r="K6">
        <v>55</v>
      </c>
      <c r="L6">
        <v>92</v>
      </c>
      <c r="M6">
        <v>82</v>
      </c>
      <c r="N6">
        <v>86</v>
      </c>
      <c r="O6">
        <v>85</v>
      </c>
      <c r="P6">
        <v>83</v>
      </c>
      <c r="Q6">
        <v>91</v>
      </c>
      <c r="R6">
        <v>91</v>
      </c>
      <c r="S6">
        <v>78</v>
      </c>
      <c r="T6">
        <v>76</v>
      </c>
      <c r="U6">
        <v>79</v>
      </c>
      <c r="V6">
        <v>91</v>
      </c>
      <c r="W6">
        <v>77</v>
      </c>
      <c r="X6">
        <v>91</v>
      </c>
      <c r="Y6">
        <v>63</v>
      </c>
      <c r="Z6">
        <v>90</v>
      </c>
      <c r="AA6">
        <v>75</v>
      </c>
      <c r="AB6">
        <v>91</v>
      </c>
      <c r="AC6">
        <v>76</v>
      </c>
      <c r="AD6">
        <v>61</v>
      </c>
      <c r="AE6">
        <v>87</v>
      </c>
      <c r="AF6">
        <v>94</v>
      </c>
      <c r="AG6">
        <v>79</v>
      </c>
      <c r="AH6">
        <v>88</v>
      </c>
      <c r="AI6">
        <v>68</v>
      </c>
      <c r="AJ6">
        <v>58</v>
      </c>
      <c r="AK6">
        <v>51</v>
      </c>
      <c r="AL6">
        <v>15</v>
      </c>
      <c r="AM6">
        <v>13</v>
      </c>
      <c r="AN6">
        <v>5</v>
      </c>
      <c r="AO6">
        <v>10</v>
      </c>
      <c r="AP6">
        <v>13</v>
      </c>
    </row>
    <row r="7" spans="1:42" x14ac:dyDescent="0.25">
      <c r="A7">
        <v>5</v>
      </c>
      <c r="B7" t="s">
        <v>59</v>
      </c>
      <c r="C7">
        <v>27</v>
      </c>
      <c r="D7" t="s">
        <v>56</v>
      </c>
      <c r="E7" t="s">
        <v>60</v>
      </c>
      <c r="F7">
        <v>93000000</v>
      </c>
      <c r="G7">
        <v>340000</v>
      </c>
      <c r="H7" t="s">
        <v>61</v>
      </c>
      <c r="I7">
        <v>81</v>
      </c>
      <c r="J7">
        <v>84</v>
      </c>
      <c r="K7">
        <v>61</v>
      </c>
      <c r="L7">
        <v>89</v>
      </c>
      <c r="M7">
        <v>80</v>
      </c>
      <c r="N7">
        <v>95</v>
      </c>
      <c r="O7">
        <v>83</v>
      </c>
      <c r="P7">
        <v>79</v>
      </c>
      <c r="Q7">
        <v>83</v>
      </c>
      <c r="R7">
        <v>94</v>
      </c>
      <c r="S7">
        <v>94</v>
      </c>
      <c r="T7">
        <v>88</v>
      </c>
      <c r="U7">
        <v>95</v>
      </c>
      <c r="V7">
        <v>90</v>
      </c>
      <c r="W7">
        <v>94</v>
      </c>
      <c r="X7">
        <v>82</v>
      </c>
      <c r="Y7">
        <v>56</v>
      </c>
      <c r="Z7">
        <v>83</v>
      </c>
      <c r="AA7">
        <v>66</v>
      </c>
      <c r="AB7">
        <v>80</v>
      </c>
      <c r="AC7">
        <v>54</v>
      </c>
      <c r="AD7">
        <v>41</v>
      </c>
      <c r="AE7">
        <v>87</v>
      </c>
      <c r="AF7">
        <v>89</v>
      </c>
      <c r="AG7">
        <v>86</v>
      </c>
      <c r="AH7">
        <v>91</v>
      </c>
      <c r="AI7">
        <v>34</v>
      </c>
      <c r="AJ7">
        <v>27</v>
      </c>
      <c r="AK7">
        <v>22</v>
      </c>
      <c r="AL7">
        <v>11</v>
      </c>
      <c r="AM7">
        <v>12</v>
      </c>
      <c r="AN7">
        <v>6</v>
      </c>
      <c r="AO7">
        <v>8</v>
      </c>
      <c r="AP7">
        <v>8</v>
      </c>
    </row>
    <row r="8" spans="1:42" x14ac:dyDescent="0.25">
      <c r="A8">
        <v>6</v>
      </c>
      <c r="B8" t="s">
        <v>62</v>
      </c>
      <c r="C8">
        <v>32</v>
      </c>
      <c r="D8" t="s">
        <v>63</v>
      </c>
      <c r="E8" t="s">
        <v>64</v>
      </c>
      <c r="F8">
        <v>67000000</v>
      </c>
      <c r="G8">
        <v>420000</v>
      </c>
      <c r="H8" t="s">
        <v>58</v>
      </c>
      <c r="I8">
        <v>86</v>
      </c>
      <c r="J8">
        <v>72</v>
      </c>
      <c r="K8">
        <v>55</v>
      </c>
      <c r="L8">
        <v>93</v>
      </c>
      <c r="M8">
        <v>76</v>
      </c>
      <c r="N8">
        <v>90</v>
      </c>
      <c r="O8">
        <v>85</v>
      </c>
      <c r="P8">
        <v>78</v>
      </c>
      <c r="Q8">
        <v>88</v>
      </c>
      <c r="R8">
        <v>93</v>
      </c>
      <c r="S8">
        <v>80</v>
      </c>
      <c r="T8">
        <v>72</v>
      </c>
      <c r="U8">
        <v>93</v>
      </c>
      <c r="V8">
        <v>90</v>
      </c>
      <c r="W8">
        <v>94</v>
      </c>
      <c r="X8">
        <v>79</v>
      </c>
      <c r="Y8">
        <v>68</v>
      </c>
      <c r="Z8">
        <v>89</v>
      </c>
      <c r="AA8">
        <v>58</v>
      </c>
      <c r="AB8">
        <v>82</v>
      </c>
      <c r="AC8">
        <v>62</v>
      </c>
      <c r="AD8">
        <v>83</v>
      </c>
      <c r="AE8">
        <v>79</v>
      </c>
      <c r="AF8">
        <v>92</v>
      </c>
      <c r="AG8">
        <v>82</v>
      </c>
      <c r="AH8">
        <v>84</v>
      </c>
      <c r="AI8">
        <v>60</v>
      </c>
      <c r="AJ8">
        <v>76</v>
      </c>
      <c r="AK8">
        <v>73</v>
      </c>
      <c r="AL8">
        <v>13</v>
      </c>
      <c r="AM8">
        <v>9</v>
      </c>
      <c r="AN8">
        <v>7</v>
      </c>
      <c r="AO8">
        <v>14</v>
      </c>
      <c r="AP8">
        <v>9</v>
      </c>
    </row>
    <row r="9" spans="1:42" x14ac:dyDescent="0.25">
      <c r="A9">
        <v>7</v>
      </c>
      <c r="B9" t="s">
        <v>65</v>
      </c>
      <c r="C9">
        <v>31</v>
      </c>
      <c r="D9" t="s">
        <v>66</v>
      </c>
      <c r="E9" t="s">
        <v>41</v>
      </c>
      <c r="F9">
        <v>80000000</v>
      </c>
      <c r="G9">
        <v>455000</v>
      </c>
      <c r="H9" t="s">
        <v>67</v>
      </c>
      <c r="I9">
        <v>77</v>
      </c>
      <c r="J9">
        <v>93</v>
      </c>
      <c r="K9">
        <v>77</v>
      </c>
      <c r="L9">
        <v>82</v>
      </c>
      <c r="M9">
        <v>88</v>
      </c>
      <c r="N9">
        <v>87</v>
      </c>
      <c r="O9">
        <v>86</v>
      </c>
      <c r="P9">
        <v>84</v>
      </c>
      <c r="Q9">
        <v>64</v>
      </c>
      <c r="R9">
        <v>90</v>
      </c>
      <c r="S9">
        <v>86</v>
      </c>
      <c r="T9">
        <v>75</v>
      </c>
      <c r="U9">
        <v>82</v>
      </c>
      <c r="V9">
        <v>92</v>
      </c>
      <c r="W9">
        <v>83</v>
      </c>
      <c r="X9">
        <v>86</v>
      </c>
      <c r="Y9">
        <v>69</v>
      </c>
      <c r="Z9">
        <v>90</v>
      </c>
      <c r="AA9">
        <v>83</v>
      </c>
      <c r="AB9">
        <v>85</v>
      </c>
      <c r="AC9">
        <v>87</v>
      </c>
      <c r="AD9">
        <v>41</v>
      </c>
      <c r="AE9">
        <v>92</v>
      </c>
      <c r="AF9">
        <v>84</v>
      </c>
      <c r="AG9">
        <v>85</v>
      </c>
      <c r="AH9">
        <v>85</v>
      </c>
      <c r="AI9">
        <v>62</v>
      </c>
      <c r="AJ9">
        <v>45</v>
      </c>
      <c r="AK9">
        <v>38</v>
      </c>
      <c r="AL9">
        <v>27</v>
      </c>
      <c r="AM9">
        <v>25</v>
      </c>
      <c r="AN9">
        <v>31</v>
      </c>
      <c r="AO9">
        <v>33</v>
      </c>
      <c r="AP9">
        <v>37</v>
      </c>
    </row>
    <row r="10" spans="1:42" x14ac:dyDescent="0.25">
      <c r="A10">
        <v>8</v>
      </c>
      <c r="B10" t="s">
        <v>68</v>
      </c>
      <c r="C10">
        <v>32</v>
      </c>
      <c r="D10" t="s">
        <v>52</v>
      </c>
      <c r="E10" t="s">
        <v>64</v>
      </c>
      <c r="F10">
        <v>51000000</v>
      </c>
      <c r="G10">
        <v>380000</v>
      </c>
      <c r="H10" t="s">
        <v>69</v>
      </c>
      <c r="I10">
        <v>66</v>
      </c>
      <c r="J10">
        <v>60</v>
      </c>
      <c r="K10">
        <v>91</v>
      </c>
      <c r="L10">
        <v>78</v>
      </c>
      <c r="M10">
        <v>66</v>
      </c>
      <c r="N10">
        <v>63</v>
      </c>
      <c r="O10">
        <v>74</v>
      </c>
      <c r="P10">
        <v>72</v>
      </c>
      <c r="Q10">
        <v>77</v>
      </c>
      <c r="R10">
        <v>84</v>
      </c>
      <c r="S10">
        <v>76</v>
      </c>
      <c r="T10">
        <v>75</v>
      </c>
      <c r="U10">
        <v>78</v>
      </c>
      <c r="V10">
        <v>85</v>
      </c>
      <c r="W10">
        <v>66</v>
      </c>
      <c r="X10">
        <v>79</v>
      </c>
      <c r="Y10">
        <v>93</v>
      </c>
      <c r="Z10">
        <v>84</v>
      </c>
      <c r="AA10">
        <v>83</v>
      </c>
      <c r="AB10">
        <v>59</v>
      </c>
      <c r="AC10">
        <v>88</v>
      </c>
      <c r="AD10">
        <v>90</v>
      </c>
      <c r="AE10">
        <v>60</v>
      </c>
      <c r="AF10">
        <v>63</v>
      </c>
      <c r="AG10">
        <v>75</v>
      </c>
      <c r="AH10">
        <v>82</v>
      </c>
      <c r="AI10">
        <v>87</v>
      </c>
      <c r="AJ10">
        <v>92</v>
      </c>
      <c r="AK10">
        <v>91</v>
      </c>
      <c r="AL10">
        <v>11</v>
      </c>
      <c r="AM10">
        <v>8</v>
      </c>
      <c r="AN10">
        <v>9</v>
      </c>
      <c r="AO10">
        <v>7</v>
      </c>
      <c r="AP10">
        <v>11</v>
      </c>
    </row>
    <row r="11" spans="1:42" x14ac:dyDescent="0.25">
      <c r="A11">
        <v>9</v>
      </c>
      <c r="B11" t="s">
        <v>70</v>
      </c>
      <c r="C11">
        <v>25</v>
      </c>
      <c r="D11" t="s">
        <v>71</v>
      </c>
      <c r="E11" t="s">
        <v>72</v>
      </c>
      <c r="F11">
        <v>68000000</v>
      </c>
      <c r="G11">
        <v>94000</v>
      </c>
      <c r="H11" t="s">
        <v>54</v>
      </c>
      <c r="I11">
        <v>13</v>
      </c>
      <c r="J11">
        <v>11</v>
      </c>
      <c r="K11">
        <v>15</v>
      </c>
      <c r="L11">
        <v>29</v>
      </c>
      <c r="M11">
        <v>13</v>
      </c>
      <c r="N11">
        <v>12</v>
      </c>
      <c r="O11">
        <v>13</v>
      </c>
      <c r="P11">
        <v>14</v>
      </c>
      <c r="Q11">
        <v>26</v>
      </c>
      <c r="R11">
        <v>16</v>
      </c>
      <c r="S11">
        <v>43</v>
      </c>
      <c r="T11">
        <v>60</v>
      </c>
      <c r="U11">
        <v>67</v>
      </c>
      <c r="V11">
        <v>86</v>
      </c>
      <c r="W11">
        <v>49</v>
      </c>
      <c r="X11">
        <v>22</v>
      </c>
      <c r="Y11">
        <v>76</v>
      </c>
      <c r="Z11">
        <v>41</v>
      </c>
      <c r="AA11">
        <v>78</v>
      </c>
      <c r="AB11">
        <v>12</v>
      </c>
      <c r="AC11">
        <v>34</v>
      </c>
      <c r="AD11">
        <v>19</v>
      </c>
      <c r="AE11">
        <v>11</v>
      </c>
      <c r="AF11">
        <v>70</v>
      </c>
      <c r="AG11">
        <v>11</v>
      </c>
      <c r="AH11">
        <v>70</v>
      </c>
      <c r="AI11">
        <v>27</v>
      </c>
      <c r="AJ11">
        <v>12</v>
      </c>
      <c r="AK11">
        <v>18</v>
      </c>
      <c r="AL11">
        <v>86</v>
      </c>
      <c r="AM11">
        <v>92</v>
      </c>
      <c r="AN11">
        <v>78</v>
      </c>
      <c r="AO11">
        <v>88</v>
      </c>
      <c r="AP11">
        <v>89</v>
      </c>
    </row>
    <row r="12" spans="1:42" x14ac:dyDescent="0.25">
      <c r="A12">
        <v>10</v>
      </c>
      <c r="B12" t="s">
        <v>73</v>
      </c>
      <c r="C12">
        <v>29</v>
      </c>
      <c r="D12" t="s">
        <v>74</v>
      </c>
      <c r="E12" t="s">
        <v>75</v>
      </c>
      <c r="F12">
        <v>77000000</v>
      </c>
      <c r="G12">
        <v>205000</v>
      </c>
      <c r="H12" t="s">
        <v>46</v>
      </c>
      <c r="I12">
        <v>62</v>
      </c>
      <c r="J12">
        <v>91</v>
      </c>
      <c r="K12">
        <v>85</v>
      </c>
      <c r="L12">
        <v>83</v>
      </c>
      <c r="M12">
        <v>89</v>
      </c>
      <c r="N12">
        <v>85</v>
      </c>
      <c r="O12">
        <v>77</v>
      </c>
      <c r="P12">
        <v>86</v>
      </c>
      <c r="Q12">
        <v>65</v>
      </c>
      <c r="R12">
        <v>89</v>
      </c>
      <c r="S12">
        <v>77</v>
      </c>
      <c r="T12">
        <v>78</v>
      </c>
      <c r="U12">
        <v>78</v>
      </c>
      <c r="V12">
        <v>90</v>
      </c>
      <c r="W12">
        <v>78</v>
      </c>
      <c r="X12">
        <v>88</v>
      </c>
      <c r="Y12">
        <v>84</v>
      </c>
      <c r="Z12">
        <v>78</v>
      </c>
      <c r="AA12">
        <v>84</v>
      </c>
      <c r="AB12">
        <v>84</v>
      </c>
      <c r="AC12">
        <v>80</v>
      </c>
      <c r="AD12">
        <v>39</v>
      </c>
      <c r="AE12">
        <v>91</v>
      </c>
      <c r="AF12">
        <v>77</v>
      </c>
      <c r="AG12">
        <v>88</v>
      </c>
      <c r="AH12">
        <v>86</v>
      </c>
      <c r="AI12">
        <v>34</v>
      </c>
      <c r="AJ12">
        <v>42</v>
      </c>
      <c r="AK12">
        <v>19</v>
      </c>
      <c r="AL12">
        <v>15</v>
      </c>
      <c r="AM12">
        <v>6</v>
      </c>
      <c r="AN12">
        <v>12</v>
      </c>
      <c r="AO12">
        <v>8</v>
      </c>
      <c r="AP12">
        <v>10</v>
      </c>
    </row>
    <row r="13" spans="1:42" x14ac:dyDescent="0.25">
      <c r="A13">
        <v>11</v>
      </c>
      <c r="B13" t="s">
        <v>76</v>
      </c>
      <c r="C13">
        <v>28</v>
      </c>
      <c r="D13" t="s">
        <v>77</v>
      </c>
      <c r="E13" t="s">
        <v>64</v>
      </c>
      <c r="F13">
        <v>76500000</v>
      </c>
      <c r="G13">
        <v>355000</v>
      </c>
      <c r="H13" t="s">
        <v>78</v>
      </c>
      <c r="I13">
        <v>88</v>
      </c>
      <c r="J13">
        <v>76</v>
      </c>
      <c r="K13">
        <v>54</v>
      </c>
      <c r="L13">
        <v>92</v>
      </c>
      <c r="M13">
        <v>82</v>
      </c>
      <c r="N13">
        <v>81</v>
      </c>
      <c r="O13">
        <v>86</v>
      </c>
      <c r="P13">
        <v>84</v>
      </c>
      <c r="Q13">
        <v>93</v>
      </c>
      <c r="R13">
        <v>90</v>
      </c>
      <c r="S13">
        <v>64</v>
      </c>
      <c r="T13">
        <v>62</v>
      </c>
      <c r="U13">
        <v>70</v>
      </c>
      <c r="V13">
        <v>89</v>
      </c>
      <c r="W13">
        <v>71</v>
      </c>
      <c r="X13">
        <v>87</v>
      </c>
      <c r="Y13">
        <v>30</v>
      </c>
      <c r="Z13">
        <v>75</v>
      </c>
      <c r="AA13">
        <v>73</v>
      </c>
      <c r="AB13">
        <v>92</v>
      </c>
      <c r="AC13">
        <v>60</v>
      </c>
      <c r="AD13">
        <v>82</v>
      </c>
      <c r="AE13">
        <v>79</v>
      </c>
      <c r="AF13">
        <v>86</v>
      </c>
      <c r="AG13">
        <v>73</v>
      </c>
      <c r="AH13">
        <v>85</v>
      </c>
      <c r="AI13">
        <v>72</v>
      </c>
      <c r="AJ13">
        <v>79</v>
      </c>
      <c r="AK13">
        <v>69</v>
      </c>
      <c r="AL13">
        <v>10</v>
      </c>
      <c r="AM13">
        <v>11</v>
      </c>
      <c r="AN13">
        <v>13</v>
      </c>
      <c r="AO13">
        <v>7</v>
      </c>
      <c r="AP13">
        <v>10</v>
      </c>
    </row>
    <row r="14" spans="1:42" x14ac:dyDescent="0.25">
      <c r="A14">
        <v>12</v>
      </c>
      <c r="B14" t="s">
        <v>79</v>
      </c>
      <c r="C14">
        <v>32</v>
      </c>
      <c r="D14" t="s">
        <v>66</v>
      </c>
      <c r="E14" t="s">
        <v>72</v>
      </c>
      <c r="F14">
        <v>44000000</v>
      </c>
      <c r="G14">
        <v>125000</v>
      </c>
      <c r="H14" t="s">
        <v>80</v>
      </c>
      <c r="I14">
        <v>55</v>
      </c>
      <c r="J14">
        <v>42</v>
      </c>
      <c r="K14">
        <v>92</v>
      </c>
      <c r="L14">
        <v>79</v>
      </c>
      <c r="M14">
        <v>47</v>
      </c>
      <c r="N14">
        <v>53</v>
      </c>
      <c r="O14">
        <v>49</v>
      </c>
      <c r="P14">
        <v>51</v>
      </c>
      <c r="Q14">
        <v>70</v>
      </c>
      <c r="R14">
        <v>76</v>
      </c>
      <c r="S14">
        <v>68</v>
      </c>
      <c r="T14">
        <v>68</v>
      </c>
      <c r="U14">
        <v>58</v>
      </c>
      <c r="V14">
        <v>85</v>
      </c>
      <c r="W14">
        <v>54</v>
      </c>
      <c r="X14">
        <v>67</v>
      </c>
      <c r="Y14">
        <v>91</v>
      </c>
      <c r="Z14">
        <v>66</v>
      </c>
      <c r="AA14">
        <v>88</v>
      </c>
      <c r="AB14">
        <v>43</v>
      </c>
      <c r="AC14">
        <v>89</v>
      </c>
      <c r="AD14">
        <v>88</v>
      </c>
      <c r="AE14">
        <v>48</v>
      </c>
      <c r="AF14">
        <v>52</v>
      </c>
      <c r="AG14">
        <v>50</v>
      </c>
      <c r="AH14">
        <v>82</v>
      </c>
      <c r="AI14">
        <v>90</v>
      </c>
      <c r="AJ14">
        <v>89</v>
      </c>
      <c r="AK14">
        <v>89</v>
      </c>
      <c r="AL14">
        <v>6</v>
      </c>
      <c r="AM14">
        <v>8</v>
      </c>
      <c r="AN14">
        <v>15</v>
      </c>
      <c r="AO14">
        <v>5</v>
      </c>
      <c r="AP14">
        <v>15</v>
      </c>
    </row>
    <row r="15" spans="1:42" x14ac:dyDescent="0.25">
      <c r="A15">
        <v>13</v>
      </c>
      <c r="B15" t="s">
        <v>81</v>
      </c>
      <c r="C15">
        <v>32</v>
      </c>
      <c r="D15" t="s">
        <v>52</v>
      </c>
      <c r="E15" t="s">
        <v>57</v>
      </c>
      <c r="F15">
        <v>60000000</v>
      </c>
      <c r="G15">
        <v>285000</v>
      </c>
      <c r="H15" t="s">
        <v>78</v>
      </c>
      <c r="I15">
        <v>84</v>
      </c>
      <c r="J15">
        <v>76</v>
      </c>
      <c r="K15">
        <v>54</v>
      </c>
      <c r="L15">
        <v>93</v>
      </c>
      <c r="M15">
        <v>82</v>
      </c>
      <c r="N15">
        <v>89</v>
      </c>
      <c r="O15">
        <v>82</v>
      </c>
      <c r="P15">
        <v>77</v>
      </c>
      <c r="Q15">
        <v>87</v>
      </c>
      <c r="R15">
        <v>94</v>
      </c>
      <c r="S15">
        <v>70</v>
      </c>
      <c r="T15">
        <v>64</v>
      </c>
      <c r="U15">
        <v>92</v>
      </c>
      <c r="V15">
        <v>90</v>
      </c>
      <c r="W15">
        <v>90</v>
      </c>
      <c r="X15">
        <v>72</v>
      </c>
      <c r="Y15">
        <v>64</v>
      </c>
      <c r="Z15">
        <v>78</v>
      </c>
      <c r="AA15">
        <v>52</v>
      </c>
      <c r="AB15">
        <v>75</v>
      </c>
      <c r="AC15">
        <v>57</v>
      </c>
      <c r="AD15">
        <v>50</v>
      </c>
      <c r="AE15">
        <v>89</v>
      </c>
      <c r="AF15">
        <v>92</v>
      </c>
      <c r="AG15">
        <v>75</v>
      </c>
      <c r="AH15">
        <v>93</v>
      </c>
      <c r="AI15">
        <v>59</v>
      </c>
      <c r="AJ15">
        <v>53</v>
      </c>
      <c r="AK15">
        <v>29</v>
      </c>
      <c r="AL15">
        <v>6</v>
      </c>
      <c r="AM15">
        <v>15</v>
      </c>
      <c r="AN15">
        <v>7</v>
      </c>
      <c r="AO15">
        <v>6</v>
      </c>
      <c r="AP15">
        <v>12</v>
      </c>
    </row>
    <row r="16" spans="1:42" x14ac:dyDescent="0.25">
      <c r="A16">
        <v>14</v>
      </c>
      <c r="B16" t="s">
        <v>82</v>
      </c>
      <c r="C16">
        <v>27</v>
      </c>
      <c r="D16" t="s">
        <v>83</v>
      </c>
      <c r="E16" t="s">
        <v>60</v>
      </c>
      <c r="F16">
        <v>63000000</v>
      </c>
      <c r="G16">
        <v>225000</v>
      </c>
      <c r="H16" t="s">
        <v>84</v>
      </c>
      <c r="I16">
        <v>68</v>
      </c>
      <c r="J16">
        <v>65</v>
      </c>
      <c r="K16">
        <v>54</v>
      </c>
      <c r="L16">
        <v>86</v>
      </c>
      <c r="M16">
        <v>56</v>
      </c>
      <c r="N16">
        <v>79</v>
      </c>
      <c r="O16">
        <v>49</v>
      </c>
      <c r="P16">
        <v>49</v>
      </c>
      <c r="Q16">
        <v>81</v>
      </c>
      <c r="R16">
        <v>80</v>
      </c>
      <c r="S16">
        <v>82</v>
      </c>
      <c r="T16">
        <v>78</v>
      </c>
      <c r="U16">
        <v>82</v>
      </c>
      <c r="V16">
        <v>93</v>
      </c>
      <c r="W16">
        <v>92</v>
      </c>
      <c r="X16">
        <v>71</v>
      </c>
      <c r="Y16">
        <v>77</v>
      </c>
      <c r="Z16">
        <v>96</v>
      </c>
      <c r="AA16">
        <v>76</v>
      </c>
      <c r="AB16">
        <v>69</v>
      </c>
      <c r="AC16">
        <v>90</v>
      </c>
      <c r="AD16">
        <v>92</v>
      </c>
      <c r="AE16">
        <v>71</v>
      </c>
      <c r="AF16">
        <v>79</v>
      </c>
      <c r="AG16">
        <v>54</v>
      </c>
      <c r="AH16">
        <v>85</v>
      </c>
      <c r="AI16">
        <v>90</v>
      </c>
      <c r="AJ16">
        <v>91</v>
      </c>
      <c r="AK16">
        <v>85</v>
      </c>
      <c r="AL16">
        <v>15</v>
      </c>
      <c r="AM16">
        <v>12</v>
      </c>
      <c r="AN16">
        <v>10</v>
      </c>
      <c r="AO16">
        <v>7</v>
      </c>
      <c r="AP16">
        <v>10</v>
      </c>
    </row>
    <row r="17" spans="1:42" x14ac:dyDescent="0.25">
      <c r="A17">
        <v>15</v>
      </c>
      <c r="B17" t="s">
        <v>85</v>
      </c>
      <c r="C17">
        <v>24</v>
      </c>
      <c r="D17" t="s">
        <v>40</v>
      </c>
      <c r="E17" t="s">
        <v>45</v>
      </c>
      <c r="F17">
        <v>89000000</v>
      </c>
      <c r="G17">
        <v>205000</v>
      </c>
      <c r="H17" t="s">
        <v>61</v>
      </c>
      <c r="I17">
        <v>82</v>
      </c>
      <c r="J17">
        <v>84</v>
      </c>
      <c r="K17">
        <v>68</v>
      </c>
      <c r="L17">
        <v>87</v>
      </c>
      <c r="M17">
        <v>88</v>
      </c>
      <c r="N17">
        <v>92</v>
      </c>
      <c r="O17">
        <v>88</v>
      </c>
      <c r="P17">
        <v>88</v>
      </c>
      <c r="Q17">
        <v>75</v>
      </c>
      <c r="R17">
        <v>92</v>
      </c>
      <c r="S17">
        <v>87</v>
      </c>
      <c r="T17">
        <v>83</v>
      </c>
      <c r="U17">
        <v>91</v>
      </c>
      <c r="V17">
        <v>86</v>
      </c>
      <c r="W17">
        <v>85</v>
      </c>
      <c r="X17">
        <v>82</v>
      </c>
      <c r="Y17">
        <v>75</v>
      </c>
      <c r="Z17">
        <v>80</v>
      </c>
      <c r="AA17">
        <v>65</v>
      </c>
      <c r="AB17">
        <v>88</v>
      </c>
      <c r="AC17">
        <v>48</v>
      </c>
      <c r="AD17">
        <v>32</v>
      </c>
      <c r="AE17">
        <v>84</v>
      </c>
      <c r="AF17">
        <v>87</v>
      </c>
      <c r="AG17">
        <v>86</v>
      </c>
      <c r="AH17">
        <v>84</v>
      </c>
      <c r="AI17">
        <v>23</v>
      </c>
      <c r="AJ17">
        <v>20</v>
      </c>
      <c r="AK17">
        <v>20</v>
      </c>
      <c r="AL17">
        <v>5</v>
      </c>
      <c r="AM17">
        <v>4</v>
      </c>
      <c r="AN17">
        <v>4</v>
      </c>
      <c r="AO17">
        <v>5</v>
      </c>
      <c r="AP17">
        <v>8</v>
      </c>
    </row>
    <row r="18" spans="1:42" x14ac:dyDescent="0.25">
      <c r="A18">
        <v>16</v>
      </c>
      <c r="B18" t="s">
        <v>86</v>
      </c>
      <c r="C18">
        <v>24</v>
      </c>
      <c r="D18" t="s">
        <v>87</v>
      </c>
      <c r="E18" t="s">
        <v>88</v>
      </c>
      <c r="F18">
        <v>83500000</v>
      </c>
      <c r="G18">
        <v>205000</v>
      </c>
      <c r="H18" t="s">
        <v>46</v>
      </c>
      <c r="I18">
        <v>75</v>
      </c>
      <c r="J18">
        <v>94</v>
      </c>
      <c r="K18">
        <v>85</v>
      </c>
      <c r="L18">
        <v>80</v>
      </c>
      <c r="M18">
        <v>84</v>
      </c>
      <c r="N18">
        <v>80</v>
      </c>
      <c r="O18">
        <v>78</v>
      </c>
      <c r="P18">
        <v>68</v>
      </c>
      <c r="Q18">
        <v>82</v>
      </c>
      <c r="R18">
        <v>84</v>
      </c>
      <c r="S18">
        <v>68</v>
      </c>
      <c r="T18">
        <v>72</v>
      </c>
      <c r="U18">
        <v>71</v>
      </c>
      <c r="V18">
        <v>91</v>
      </c>
      <c r="W18">
        <v>71</v>
      </c>
      <c r="X18">
        <v>88</v>
      </c>
      <c r="Y18">
        <v>78</v>
      </c>
      <c r="Z18">
        <v>89</v>
      </c>
      <c r="AA18">
        <v>84</v>
      </c>
      <c r="AB18">
        <v>85</v>
      </c>
      <c r="AC18">
        <v>76</v>
      </c>
      <c r="AD18">
        <v>35</v>
      </c>
      <c r="AE18">
        <v>93</v>
      </c>
      <c r="AF18">
        <v>80</v>
      </c>
      <c r="AG18">
        <v>90</v>
      </c>
      <c r="AH18">
        <v>89</v>
      </c>
      <c r="AI18">
        <v>56</v>
      </c>
      <c r="AJ18">
        <v>36</v>
      </c>
      <c r="AK18">
        <v>38</v>
      </c>
      <c r="AL18">
        <v>8</v>
      </c>
      <c r="AM18">
        <v>10</v>
      </c>
      <c r="AN18">
        <v>11</v>
      </c>
      <c r="AO18">
        <v>14</v>
      </c>
      <c r="AP18">
        <v>11</v>
      </c>
    </row>
    <row r="19" spans="1:42" x14ac:dyDescent="0.25">
      <c r="A19">
        <v>17</v>
      </c>
      <c r="B19" t="s">
        <v>89</v>
      </c>
      <c r="C19">
        <v>27</v>
      </c>
      <c r="D19" t="s">
        <v>83</v>
      </c>
      <c r="E19" t="s">
        <v>72</v>
      </c>
      <c r="F19">
        <v>78000000</v>
      </c>
      <c r="G19">
        <v>145000</v>
      </c>
      <c r="H19" t="s">
        <v>90</v>
      </c>
      <c r="I19">
        <v>82</v>
      </c>
      <c r="J19">
        <v>90</v>
      </c>
      <c r="K19">
        <v>84</v>
      </c>
      <c r="L19">
        <v>83</v>
      </c>
      <c r="M19">
        <v>87</v>
      </c>
      <c r="N19">
        <v>88</v>
      </c>
      <c r="O19">
        <v>84</v>
      </c>
      <c r="P19">
        <v>78</v>
      </c>
      <c r="Q19">
        <v>76</v>
      </c>
      <c r="R19">
        <v>90</v>
      </c>
      <c r="S19">
        <v>88</v>
      </c>
      <c r="T19">
        <v>85</v>
      </c>
      <c r="U19">
        <v>90</v>
      </c>
      <c r="V19">
        <v>90</v>
      </c>
      <c r="W19">
        <v>80</v>
      </c>
      <c r="X19">
        <v>80</v>
      </c>
      <c r="Y19">
        <v>90</v>
      </c>
      <c r="Z19">
        <v>83</v>
      </c>
      <c r="AA19">
        <v>62</v>
      </c>
      <c r="AB19">
        <v>82</v>
      </c>
      <c r="AC19">
        <v>69</v>
      </c>
      <c r="AD19">
        <v>35</v>
      </c>
      <c r="AE19">
        <v>91</v>
      </c>
      <c r="AF19">
        <v>83</v>
      </c>
      <c r="AG19">
        <v>79</v>
      </c>
      <c r="AH19">
        <v>87</v>
      </c>
      <c r="AI19">
        <v>59</v>
      </c>
      <c r="AJ19">
        <v>47</v>
      </c>
      <c r="AK19">
        <v>48</v>
      </c>
      <c r="AL19">
        <v>14</v>
      </c>
      <c r="AM19">
        <v>8</v>
      </c>
      <c r="AN19">
        <v>14</v>
      </c>
      <c r="AO19">
        <v>13</v>
      </c>
      <c r="AP19">
        <v>14</v>
      </c>
    </row>
    <row r="20" spans="1:42" x14ac:dyDescent="0.25">
      <c r="A20">
        <v>18</v>
      </c>
      <c r="B20" t="s">
        <v>91</v>
      </c>
      <c r="C20">
        <v>26</v>
      </c>
      <c r="D20" t="s">
        <v>77</v>
      </c>
      <c r="E20" t="s">
        <v>41</v>
      </c>
      <c r="F20">
        <v>58000000</v>
      </c>
      <c r="G20">
        <v>240000</v>
      </c>
      <c r="H20" t="s">
        <v>54</v>
      </c>
      <c r="I20">
        <v>15</v>
      </c>
      <c r="J20">
        <v>14</v>
      </c>
      <c r="K20">
        <v>11</v>
      </c>
      <c r="L20">
        <v>36</v>
      </c>
      <c r="M20">
        <v>14</v>
      </c>
      <c r="N20">
        <v>17</v>
      </c>
      <c r="O20">
        <v>18</v>
      </c>
      <c r="P20">
        <v>12</v>
      </c>
      <c r="Q20">
        <v>42</v>
      </c>
      <c r="R20">
        <v>18</v>
      </c>
      <c r="S20">
        <v>38</v>
      </c>
      <c r="T20">
        <v>50</v>
      </c>
      <c r="U20">
        <v>37</v>
      </c>
      <c r="V20">
        <v>85</v>
      </c>
      <c r="W20">
        <v>43</v>
      </c>
      <c r="X20">
        <v>22</v>
      </c>
      <c r="Y20">
        <v>79</v>
      </c>
      <c r="Z20">
        <v>35</v>
      </c>
      <c r="AA20">
        <v>79</v>
      </c>
      <c r="AB20">
        <v>10</v>
      </c>
      <c r="AC20">
        <v>43</v>
      </c>
      <c r="AD20">
        <v>22</v>
      </c>
      <c r="AE20">
        <v>11</v>
      </c>
      <c r="AF20">
        <v>69</v>
      </c>
      <c r="AG20">
        <v>25</v>
      </c>
      <c r="AH20">
        <v>69</v>
      </c>
      <c r="AI20">
        <v>25</v>
      </c>
      <c r="AJ20">
        <v>13</v>
      </c>
      <c r="AK20">
        <v>10</v>
      </c>
      <c r="AL20">
        <v>87</v>
      </c>
      <c r="AM20">
        <v>85</v>
      </c>
      <c r="AN20">
        <v>88</v>
      </c>
      <c r="AO20">
        <v>85</v>
      </c>
      <c r="AP20">
        <v>90</v>
      </c>
    </row>
    <row r="21" spans="1:42" x14ac:dyDescent="0.25">
      <c r="A21">
        <v>19</v>
      </c>
      <c r="B21" t="s">
        <v>92</v>
      </c>
      <c r="C21">
        <v>26</v>
      </c>
      <c r="D21" t="s">
        <v>56</v>
      </c>
      <c r="E21" t="s">
        <v>64</v>
      </c>
      <c r="F21">
        <v>53500000</v>
      </c>
      <c r="G21">
        <v>240000</v>
      </c>
      <c r="H21" t="s">
        <v>54</v>
      </c>
      <c r="I21">
        <v>14</v>
      </c>
      <c r="J21">
        <v>14</v>
      </c>
      <c r="K21">
        <v>13</v>
      </c>
      <c r="L21">
        <v>33</v>
      </c>
      <c r="M21">
        <v>12</v>
      </c>
      <c r="N21">
        <v>13</v>
      </c>
      <c r="O21">
        <v>19</v>
      </c>
      <c r="P21">
        <v>20</v>
      </c>
      <c r="Q21">
        <v>35</v>
      </c>
      <c r="R21">
        <v>23</v>
      </c>
      <c r="S21">
        <v>46</v>
      </c>
      <c r="T21">
        <v>52</v>
      </c>
      <c r="U21">
        <v>61</v>
      </c>
      <c r="V21">
        <v>84</v>
      </c>
      <c r="W21">
        <v>45</v>
      </c>
      <c r="X21">
        <v>36</v>
      </c>
      <c r="Y21">
        <v>68</v>
      </c>
      <c r="Z21">
        <v>38</v>
      </c>
      <c r="AA21">
        <v>70</v>
      </c>
      <c r="AB21">
        <v>17</v>
      </c>
      <c r="AC21">
        <v>23</v>
      </c>
      <c r="AD21">
        <v>15</v>
      </c>
      <c r="AE21">
        <v>13</v>
      </c>
      <c r="AF21">
        <v>44</v>
      </c>
      <c r="AG21">
        <v>27</v>
      </c>
      <c r="AH21">
        <v>66</v>
      </c>
      <c r="AI21">
        <v>20</v>
      </c>
      <c r="AJ21">
        <v>18</v>
      </c>
      <c r="AK21">
        <v>16</v>
      </c>
      <c r="AL21">
        <v>85</v>
      </c>
      <c r="AM21">
        <v>91</v>
      </c>
      <c r="AN21">
        <v>72</v>
      </c>
      <c r="AO21">
        <v>86</v>
      </c>
      <c r="AP21">
        <v>88</v>
      </c>
    </row>
    <row r="22" spans="1:42" x14ac:dyDescent="0.25">
      <c r="A22">
        <v>20</v>
      </c>
      <c r="B22" t="s">
        <v>93</v>
      </c>
      <c r="C22">
        <v>29</v>
      </c>
      <c r="D22" t="s">
        <v>52</v>
      </c>
      <c r="E22" t="s">
        <v>41</v>
      </c>
      <c r="F22">
        <v>51500000</v>
      </c>
      <c r="G22">
        <v>315000</v>
      </c>
      <c r="H22" t="s">
        <v>94</v>
      </c>
      <c r="I22">
        <v>62</v>
      </c>
      <c r="J22">
        <v>67</v>
      </c>
      <c r="K22">
        <v>68</v>
      </c>
      <c r="L22">
        <v>89</v>
      </c>
      <c r="M22">
        <v>44</v>
      </c>
      <c r="N22">
        <v>80</v>
      </c>
      <c r="O22">
        <v>66</v>
      </c>
      <c r="P22">
        <v>68</v>
      </c>
      <c r="Q22">
        <v>82</v>
      </c>
      <c r="R22">
        <v>88</v>
      </c>
      <c r="S22">
        <v>50</v>
      </c>
      <c r="T22">
        <v>52</v>
      </c>
      <c r="U22">
        <v>66</v>
      </c>
      <c r="V22">
        <v>87</v>
      </c>
      <c r="W22">
        <v>52</v>
      </c>
      <c r="X22">
        <v>61</v>
      </c>
      <c r="Y22">
        <v>66</v>
      </c>
      <c r="Z22">
        <v>86</v>
      </c>
      <c r="AA22">
        <v>77</v>
      </c>
      <c r="AB22">
        <v>54</v>
      </c>
      <c r="AC22">
        <v>85</v>
      </c>
      <c r="AD22">
        <v>87</v>
      </c>
      <c r="AE22">
        <v>77</v>
      </c>
      <c r="AF22">
        <v>87</v>
      </c>
      <c r="AG22">
        <v>60</v>
      </c>
      <c r="AH22">
        <v>90</v>
      </c>
      <c r="AI22">
        <v>90</v>
      </c>
      <c r="AJ22">
        <v>86</v>
      </c>
      <c r="AK22">
        <v>80</v>
      </c>
      <c r="AL22">
        <v>5</v>
      </c>
      <c r="AM22">
        <v>8</v>
      </c>
      <c r="AN22">
        <v>13</v>
      </c>
      <c r="AO22">
        <v>9</v>
      </c>
      <c r="AP22">
        <v>13</v>
      </c>
    </row>
    <row r="23" spans="1:42" x14ac:dyDescent="0.25">
      <c r="A23">
        <v>21</v>
      </c>
      <c r="B23" t="s">
        <v>95</v>
      </c>
      <c r="C23">
        <v>31</v>
      </c>
      <c r="D23" t="s">
        <v>66</v>
      </c>
      <c r="E23" t="s">
        <v>49</v>
      </c>
      <c r="F23">
        <v>60000000</v>
      </c>
      <c r="G23">
        <v>200000</v>
      </c>
      <c r="H23" t="s">
        <v>96</v>
      </c>
      <c r="I23">
        <v>70</v>
      </c>
      <c r="J23">
        <v>89</v>
      </c>
      <c r="K23">
        <v>89</v>
      </c>
      <c r="L23">
        <v>78</v>
      </c>
      <c r="M23">
        <v>90</v>
      </c>
      <c r="N23">
        <v>80</v>
      </c>
      <c r="O23">
        <v>77</v>
      </c>
      <c r="P23">
        <v>76</v>
      </c>
      <c r="Q23">
        <v>52</v>
      </c>
      <c r="R23">
        <v>82</v>
      </c>
      <c r="S23">
        <v>75</v>
      </c>
      <c r="T23">
        <v>76</v>
      </c>
      <c r="U23">
        <v>77</v>
      </c>
      <c r="V23">
        <v>91</v>
      </c>
      <c r="W23">
        <v>59</v>
      </c>
      <c r="X23">
        <v>87</v>
      </c>
      <c r="Y23">
        <v>88</v>
      </c>
      <c r="Z23">
        <v>92</v>
      </c>
      <c r="AA23">
        <v>78</v>
      </c>
      <c r="AB23">
        <v>79</v>
      </c>
      <c r="AC23">
        <v>84</v>
      </c>
      <c r="AD23">
        <v>48</v>
      </c>
      <c r="AE23">
        <v>93</v>
      </c>
      <c r="AF23">
        <v>77</v>
      </c>
      <c r="AG23">
        <v>85</v>
      </c>
      <c r="AH23">
        <v>82</v>
      </c>
      <c r="AI23">
        <v>52</v>
      </c>
      <c r="AJ23">
        <v>45</v>
      </c>
      <c r="AK23">
        <v>39</v>
      </c>
      <c r="AL23">
        <v>12</v>
      </c>
      <c r="AM23">
        <v>5</v>
      </c>
      <c r="AN23">
        <v>13</v>
      </c>
      <c r="AO23">
        <v>13</v>
      </c>
      <c r="AP23">
        <v>10</v>
      </c>
    </row>
    <row r="24" spans="1:42" x14ac:dyDescent="0.25">
      <c r="A24">
        <v>22</v>
      </c>
      <c r="B24" t="s">
        <v>97</v>
      </c>
      <c r="C24">
        <v>32</v>
      </c>
      <c r="D24" t="s">
        <v>77</v>
      </c>
      <c r="E24" t="s">
        <v>75</v>
      </c>
      <c r="F24">
        <v>38000000</v>
      </c>
      <c r="G24">
        <v>130000</v>
      </c>
      <c r="H24" t="s">
        <v>54</v>
      </c>
      <c r="I24">
        <v>15</v>
      </c>
      <c r="J24">
        <v>13</v>
      </c>
      <c r="K24">
        <v>25</v>
      </c>
      <c r="L24">
        <v>55</v>
      </c>
      <c r="M24">
        <v>11</v>
      </c>
      <c r="N24">
        <v>30</v>
      </c>
      <c r="O24">
        <v>14</v>
      </c>
      <c r="P24">
        <v>11</v>
      </c>
      <c r="Q24">
        <v>59</v>
      </c>
      <c r="R24">
        <v>48</v>
      </c>
      <c r="S24">
        <v>54</v>
      </c>
      <c r="T24">
        <v>60</v>
      </c>
      <c r="U24">
        <v>51</v>
      </c>
      <c r="V24">
        <v>84</v>
      </c>
      <c r="W24">
        <v>35</v>
      </c>
      <c r="X24">
        <v>25</v>
      </c>
      <c r="Y24">
        <v>77</v>
      </c>
      <c r="Z24">
        <v>43</v>
      </c>
      <c r="AA24">
        <v>80</v>
      </c>
      <c r="AB24">
        <v>16</v>
      </c>
      <c r="AC24">
        <v>29</v>
      </c>
      <c r="AD24">
        <v>30</v>
      </c>
      <c r="AE24">
        <v>12</v>
      </c>
      <c r="AF24">
        <v>70</v>
      </c>
      <c r="AG24">
        <v>47</v>
      </c>
      <c r="AH24">
        <v>70</v>
      </c>
      <c r="AI24">
        <v>17</v>
      </c>
      <c r="AJ24">
        <v>10</v>
      </c>
      <c r="AK24">
        <v>11</v>
      </c>
      <c r="AL24">
        <v>90</v>
      </c>
      <c r="AM24">
        <v>86</v>
      </c>
      <c r="AN24">
        <v>91</v>
      </c>
      <c r="AO24">
        <v>87</v>
      </c>
      <c r="AP24">
        <v>87</v>
      </c>
    </row>
    <row r="25" spans="1:42" x14ac:dyDescent="0.25">
      <c r="A25">
        <v>23</v>
      </c>
      <c r="B25" t="s">
        <v>98</v>
      </c>
      <c r="C25">
        <v>30</v>
      </c>
      <c r="D25" t="s">
        <v>40</v>
      </c>
      <c r="E25" t="s">
        <v>57</v>
      </c>
      <c r="F25">
        <v>64500000</v>
      </c>
      <c r="G25">
        <v>300000</v>
      </c>
      <c r="H25" t="s">
        <v>46</v>
      </c>
      <c r="I25">
        <v>70</v>
      </c>
      <c r="J25">
        <v>93</v>
      </c>
      <c r="K25">
        <v>77</v>
      </c>
      <c r="L25">
        <v>81</v>
      </c>
      <c r="M25">
        <v>85</v>
      </c>
      <c r="N25">
        <v>89</v>
      </c>
      <c r="O25">
        <v>82</v>
      </c>
      <c r="P25">
        <v>73</v>
      </c>
      <c r="Q25">
        <v>64</v>
      </c>
      <c r="R25">
        <v>89</v>
      </c>
      <c r="S25">
        <v>88</v>
      </c>
      <c r="T25">
        <v>80</v>
      </c>
      <c r="U25">
        <v>86</v>
      </c>
      <c r="V25">
        <v>90</v>
      </c>
      <c r="W25">
        <v>91</v>
      </c>
      <c r="X25">
        <v>88</v>
      </c>
      <c r="Y25">
        <v>81</v>
      </c>
      <c r="Z25">
        <v>76</v>
      </c>
      <c r="AA25">
        <v>73</v>
      </c>
      <c r="AB25">
        <v>83</v>
      </c>
      <c r="AC25">
        <v>65</v>
      </c>
      <c r="AD25">
        <v>24</v>
      </c>
      <c r="AE25">
        <v>92</v>
      </c>
      <c r="AF25">
        <v>83</v>
      </c>
      <c r="AG25">
        <v>83</v>
      </c>
      <c r="AH25">
        <v>90</v>
      </c>
      <c r="AI25">
        <v>30</v>
      </c>
      <c r="AJ25">
        <v>20</v>
      </c>
      <c r="AK25">
        <v>12</v>
      </c>
      <c r="AL25">
        <v>13</v>
      </c>
      <c r="AM25">
        <v>15</v>
      </c>
      <c r="AN25">
        <v>6</v>
      </c>
      <c r="AO25">
        <v>11</v>
      </c>
      <c r="AP25">
        <v>14</v>
      </c>
    </row>
    <row r="26" spans="1:42" x14ac:dyDescent="0.25">
      <c r="A26">
        <v>24</v>
      </c>
      <c r="B26" t="s">
        <v>99</v>
      </c>
      <c r="C26">
        <v>33</v>
      </c>
      <c r="D26" t="s">
        <v>100</v>
      </c>
      <c r="E26" t="s">
        <v>45</v>
      </c>
      <c r="F26">
        <v>27000000</v>
      </c>
      <c r="G26">
        <v>215000</v>
      </c>
      <c r="H26" t="s">
        <v>101</v>
      </c>
      <c r="I26">
        <v>58</v>
      </c>
      <c r="J26">
        <v>33</v>
      </c>
      <c r="K26">
        <v>83</v>
      </c>
      <c r="L26">
        <v>59</v>
      </c>
      <c r="M26">
        <v>45</v>
      </c>
      <c r="N26">
        <v>58</v>
      </c>
      <c r="O26">
        <v>60</v>
      </c>
      <c r="P26">
        <v>31</v>
      </c>
      <c r="Q26">
        <v>59</v>
      </c>
      <c r="R26">
        <v>57</v>
      </c>
      <c r="S26">
        <v>63</v>
      </c>
      <c r="T26">
        <v>75</v>
      </c>
      <c r="U26">
        <v>54</v>
      </c>
      <c r="V26">
        <v>82</v>
      </c>
      <c r="W26">
        <v>55</v>
      </c>
      <c r="X26">
        <v>78</v>
      </c>
      <c r="Y26">
        <v>89</v>
      </c>
      <c r="Z26">
        <v>65</v>
      </c>
      <c r="AA26">
        <v>89</v>
      </c>
      <c r="AB26">
        <v>49</v>
      </c>
      <c r="AC26">
        <v>92</v>
      </c>
      <c r="AD26">
        <v>88</v>
      </c>
      <c r="AE26">
        <v>28</v>
      </c>
      <c r="AF26">
        <v>50</v>
      </c>
      <c r="AG26">
        <v>50</v>
      </c>
      <c r="AH26">
        <v>84</v>
      </c>
      <c r="AI26">
        <v>93</v>
      </c>
      <c r="AJ26">
        <v>93</v>
      </c>
      <c r="AK26">
        <v>90</v>
      </c>
      <c r="AL26">
        <v>3</v>
      </c>
      <c r="AM26">
        <v>3</v>
      </c>
      <c r="AN26">
        <v>2</v>
      </c>
      <c r="AO26">
        <v>4</v>
      </c>
      <c r="AP26">
        <v>3</v>
      </c>
    </row>
    <row r="27" spans="1:42" x14ac:dyDescent="0.25">
      <c r="A27">
        <v>25</v>
      </c>
      <c r="B27" t="s">
        <v>102</v>
      </c>
      <c r="C27">
        <v>19</v>
      </c>
      <c r="D27" t="s">
        <v>83</v>
      </c>
      <c r="E27" t="s">
        <v>49</v>
      </c>
      <c r="F27">
        <v>81000000</v>
      </c>
      <c r="G27">
        <v>100000</v>
      </c>
      <c r="H27" t="s">
        <v>103</v>
      </c>
      <c r="I27">
        <v>77</v>
      </c>
      <c r="J27">
        <v>88</v>
      </c>
      <c r="K27">
        <v>77</v>
      </c>
      <c r="L27">
        <v>82</v>
      </c>
      <c r="M27">
        <v>78</v>
      </c>
      <c r="N27">
        <v>90</v>
      </c>
      <c r="O27">
        <v>77</v>
      </c>
      <c r="P27">
        <v>63</v>
      </c>
      <c r="Q27">
        <v>73</v>
      </c>
      <c r="R27">
        <v>91</v>
      </c>
      <c r="S27">
        <v>96</v>
      </c>
      <c r="T27">
        <v>96</v>
      </c>
      <c r="U27">
        <v>92</v>
      </c>
      <c r="V27">
        <v>87</v>
      </c>
      <c r="W27">
        <v>83</v>
      </c>
      <c r="X27">
        <v>79</v>
      </c>
      <c r="Y27">
        <v>75</v>
      </c>
      <c r="Z27">
        <v>83</v>
      </c>
      <c r="AA27">
        <v>71</v>
      </c>
      <c r="AB27">
        <v>78</v>
      </c>
      <c r="AC27">
        <v>62</v>
      </c>
      <c r="AD27">
        <v>38</v>
      </c>
      <c r="AE27">
        <v>88</v>
      </c>
      <c r="AF27">
        <v>82</v>
      </c>
      <c r="AG27">
        <v>70</v>
      </c>
      <c r="AH27">
        <v>86</v>
      </c>
      <c r="AI27">
        <v>34</v>
      </c>
      <c r="AJ27">
        <v>34</v>
      </c>
      <c r="AK27">
        <v>32</v>
      </c>
      <c r="AL27">
        <v>13</v>
      </c>
      <c r="AM27">
        <v>5</v>
      </c>
      <c r="AN27">
        <v>7</v>
      </c>
      <c r="AO27">
        <v>11</v>
      </c>
      <c r="AP27">
        <v>6</v>
      </c>
    </row>
    <row r="28" spans="1:42" x14ac:dyDescent="0.25">
      <c r="A28">
        <v>26</v>
      </c>
      <c r="B28" t="s">
        <v>104</v>
      </c>
      <c r="C28">
        <v>26</v>
      </c>
      <c r="D28" t="s">
        <v>105</v>
      </c>
      <c r="E28" t="s">
        <v>106</v>
      </c>
      <c r="F28">
        <v>69500000</v>
      </c>
      <c r="G28">
        <v>255000</v>
      </c>
      <c r="H28" t="s">
        <v>103</v>
      </c>
      <c r="I28">
        <v>78</v>
      </c>
      <c r="J28">
        <v>90</v>
      </c>
      <c r="K28">
        <v>59</v>
      </c>
      <c r="L28">
        <v>82</v>
      </c>
      <c r="M28">
        <v>73</v>
      </c>
      <c r="N28">
        <v>89</v>
      </c>
      <c r="O28">
        <v>83</v>
      </c>
      <c r="P28">
        <v>60</v>
      </c>
      <c r="Q28">
        <v>72</v>
      </c>
      <c r="R28">
        <v>88</v>
      </c>
      <c r="S28">
        <v>94</v>
      </c>
      <c r="T28">
        <v>91</v>
      </c>
      <c r="U28">
        <v>91</v>
      </c>
      <c r="V28">
        <v>91</v>
      </c>
      <c r="W28">
        <v>88</v>
      </c>
      <c r="X28">
        <v>77</v>
      </c>
      <c r="Y28">
        <v>68</v>
      </c>
      <c r="Z28">
        <v>84</v>
      </c>
      <c r="AA28">
        <v>70</v>
      </c>
      <c r="AB28">
        <v>83</v>
      </c>
      <c r="AC28">
        <v>63</v>
      </c>
      <c r="AD28">
        <v>55</v>
      </c>
      <c r="AE28">
        <v>90</v>
      </c>
      <c r="AF28">
        <v>82</v>
      </c>
      <c r="AG28">
        <v>61</v>
      </c>
      <c r="AH28">
        <v>91</v>
      </c>
      <c r="AI28">
        <v>38</v>
      </c>
      <c r="AJ28">
        <v>43</v>
      </c>
      <c r="AK28">
        <v>41</v>
      </c>
      <c r="AL28">
        <v>14</v>
      </c>
      <c r="AM28">
        <v>14</v>
      </c>
      <c r="AN28">
        <v>9</v>
      </c>
      <c r="AO28">
        <v>11</v>
      </c>
      <c r="AP28">
        <v>14</v>
      </c>
    </row>
    <row r="29" spans="1:42" x14ac:dyDescent="0.25">
      <c r="A29">
        <v>27</v>
      </c>
      <c r="B29" t="s">
        <v>107</v>
      </c>
      <c r="C29">
        <v>26</v>
      </c>
      <c r="D29" t="s">
        <v>48</v>
      </c>
      <c r="E29" t="s">
        <v>64</v>
      </c>
      <c r="F29">
        <v>59500000</v>
      </c>
      <c r="G29">
        <v>285000</v>
      </c>
      <c r="H29" t="s">
        <v>94</v>
      </c>
      <c r="I29">
        <v>52</v>
      </c>
      <c r="J29">
        <v>59</v>
      </c>
      <c r="K29">
        <v>76</v>
      </c>
      <c r="L29">
        <v>85</v>
      </c>
      <c r="M29">
        <v>53</v>
      </c>
      <c r="N29">
        <v>69</v>
      </c>
      <c r="O29">
        <v>59</v>
      </c>
      <c r="P29">
        <v>74</v>
      </c>
      <c r="Q29">
        <v>82</v>
      </c>
      <c r="R29">
        <v>78</v>
      </c>
      <c r="S29">
        <v>59</v>
      </c>
      <c r="T29">
        <v>65</v>
      </c>
      <c r="U29">
        <v>62</v>
      </c>
      <c r="V29">
        <v>84</v>
      </c>
      <c r="W29">
        <v>66</v>
      </c>
      <c r="X29">
        <v>86</v>
      </c>
      <c r="Y29">
        <v>88</v>
      </c>
      <c r="Z29">
        <v>87</v>
      </c>
      <c r="AA29">
        <v>89</v>
      </c>
      <c r="AB29">
        <v>79</v>
      </c>
      <c r="AC29">
        <v>87</v>
      </c>
      <c r="AD29">
        <v>87</v>
      </c>
      <c r="AE29">
        <v>69</v>
      </c>
      <c r="AF29">
        <v>77</v>
      </c>
      <c r="AG29">
        <v>66</v>
      </c>
      <c r="AH29">
        <v>84</v>
      </c>
      <c r="AI29">
        <v>88</v>
      </c>
      <c r="AJ29">
        <v>90</v>
      </c>
      <c r="AK29">
        <v>87</v>
      </c>
      <c r="AL29">
        <v>13</v>
      </c>
      <c r="AM29">
        <v>14</v>
      </c>
      <c r="AN29">
        <v>16</v>
      </c>
      <c r="AO29">
        <v>12</v>
      </c>
      <c r="AP29">
        <v>12</v>
      </c>
    </row>
    <row r="30" spans="1:42" x14ac:dyDescent="0.25">
      <c r="A30">
        <v>28</v>
      </c>
      <c r="B30" t="s">
        <v>108</v>
      </c>
      <c r="C30">
        <v>26</v>
      </c>
      <c r="D30" t="s">
        <v>109</v>
      </c>
      <c r="E30" t="s">
        <v>75</v>
      </c>
      <c r="F30">
        <v>69500000</v>
      </c>
      <c r="G30">
        <v>315000</v>
      </c>
      <c r="H30" t="s">
        <v>110</v>
      </c>
      <c r="I30">
        <v>90</v>
      </c>
      <c r="J30">
        <v>83</v>
      </c>
      <c r="K30">
        <v>62</v>
      </c>
      <c r="L30">
        <v>89</v>
      </c>
      <c r="M30">
        <v>90</v>
      </c>
      <c r="N30">
        <v>85</v>
      </c>
      <c r="O30">
        <v>89</v>
      </c>
      <c r="P30">
        <v>86</v>
      </c>
      <c r="Q30">
        <v>83</v>
      </c>
      <c r="R30">
        <v>90</v>
      </c>
      <c r="S30">
        <v>73</v>
      </c>
      <c r="T30">
        <v>67</v>
      </c>
      <c r="U30">
        <v>83</v>
      </c>
      <c r="V30">
        <v>85</v>
      </c>
      <c r="W30">
        <v>76</v>
      </c>
      <c r="X30">
        <v>86</v>
      </c>
      <c r="Y30">
        <v>54</v>
      </c>
      <c r="Z30">
        <v>70</v>
      </c>
      <c r="AA30">
        <v>68</v>
      </c>
      <c r="AB30">
        <v>92</v>
      </c>
      <c r="AC30">
        <v>64</v>
      </c>
      <c r="AD30">
        <v>55</v>
      </c>
      <c r="AE30">
        <v>80</v>
      </c>
      <c r="AF30">
        <v>89</v>
      </c>
      <c r="AG30">
        <v>81</v>
      </c>
      <c r="AH30">
        <v>87</v>
      </c>
      <c r="AI30">
        <v>52</v>
      </c>
      <c r="AJ30">
        <v>41</v>
      </c>
      <c r="AK30">
        <v>44</v>
      </c>
      <c r="AL30">
        <v>15</v>
      </c>
      <c r="AM30">
        <v>15</v>
      </c>
      <c r="AN30">
        <v>15</v>
      </c>
      <c r="AO30">
        <v>5</v>
      </c>
      <c r="AP30">
        <v>14</v>
      </c>
    </row>
    <row r="31" spans="1:42" x14ac:dyDescent="0.25">
      <c r="A31">
        <v>29</v>
      </c>
      <c r="B31" t="s">
        <v>111</v>
      </c>
      <c r="C31">
        <v>27</v>
      </c>
      <c r="D31" t="s">
        <v>100</v>
      </c>
      <c r="E31" t="s">
        <v>112</v>
      </c>
      <c r="F31">
        <v>62000000</v>
      </c>
      <c r="G31">
        <v>165000</v>
      </c>
      <c r="H31" t="s">
        <v>50</v>
      </c>
      <c r="I31">
        <v>86</v>
      </c>
      <c r="J31">
        <v>77</v>
      </c>
      <c r="K31">
        <v>56</v>
      </c>
      <c r="L31">
        <v>85</v>
      </c>
      <c r="M31">
        <v>74</v>
      </c>
      <c r="N31">
        <v>90</v>
      </c>
      <c r="O31">
        <v>87</v>
      </c>
      <c r="P31">
        <v>77</v>
      </c>
      <c r="Q31">
        <v>78</v>
      </c>
      <c r="R31">
        <v>93</v>
      </c>
      <c r="S31">
        <v>94</v>
      </c>
      <c r="T31">
        <v>86</v>
      </c>
      <c r="U31">
        <v>94</v>
      </c>
      <c r="V31">
        <v>83</v>
      </c>
      <c r="W31">
        <v>93</v>
      </c>
      <c r="X31">
        <v>75</v>
      </c>
      <c r="Y31">
        <v>53</v>
      </c>
      <c r="Z31">
        <v>75</v>
      </c>
      <c r="AA31">
        <v>44</v>
      </c>
      <c r="AB31">
        <v>84</v>
      </c>
      <c r="AC31">
        <v>34</v>
      </c>
      <c r="AD31">
        <v>26</v>
      </c>
      <c r="AE31">
        <v>83</v>
      </c>
      <c r="AF31">
        <v>87</v>
      </c>
      <c r="AG31">
        <v>61</v>
      </c>
      <c r="AH31">
        <v>83</v>
      </c>
      <c r="AI31">
        <v>51</v>
      </c>
      <c r="AJ31">
        <v>24</v>
      </c>
      <c r="AK31">
        <v>22</v>
      </c>
      <c r="AL31">
        <v>8</v>
      </c>
      <c r="AM31">
        <v>4</v>
      </c>
      <c r="AN31">
        <v>14</v>
      </c>
      <c r="AO31">
        <v>9</v>
      </c>
      <c r="AP31">
        <v>10</v>
      </c>
    </row>
    <row r="32" spans="1:42" x14ac:dyDescent="0.25">
      <c r="A32">
        <v>30</v>
      </c>
      <c r="B32" t="s">
        <v>113</v>
      </c>
      <c r="C32">
        <v>26</v>
      </c>
      <c r="D32" t="s">
        <v>52</v>
      </c>
      <c r="E32" t="s">
        <v>64</v>
      </c>
      <c r="F32">
        <v>73500000</v>
      </c>
      <c r="G32">
        <v>315000</v>
      </c>
      <c r="H32" t="s">
        <v>50</v>
      </c>
      <c r="I32">
        <v>75</v>
      </c>
      <c r="J32">
        <v>79</v>
      </c>
      <c r="K32">
        <v>55</v>
      </c>
      <c r="L32">
        <v>89</v>
      </c>
      <c r="M32">
        <v>65</v>
      </c>
      <c r="N32">
        <v>94</v>
      </c>
      <c r="O32">
        <v>88</v>
      </c>
      <c r="P32">
        <v>76</v>
      </c>
      <c r="Q32">
        <v>83</v>
      </c>
      <c r="R32">
        <v>95</v>
      </c>
      <c r="S32">
        <v>75</v>
      </c>
      <c r="T32">
        <v>69</v>
      </c>
      <c r="U32">
        <v>87</v>
      </c>
      <c r="V32">
        <v>77</v>
      </c>
      <c r="W32">
        <v>90</v>
      </c>
      <c r="X32">
        <v>69</v>
      </c>
      <c r="Y32">
        <v>64</v>
      </c>
      <c r="Z32">
        <v>70</v>
      </c>
      <c r="AA32">
        <v>59</v>
      </c>
      <c r="AB32">
        <v>87</v>
      </c>
      <c r="AC32">
        <v>58</v>
      </c>
      <c r="AD32">
        <v>64</v>
      </c>
      <c r="AE32">
        <v>78</v>
      </c>
      <c r="AF32">
        <v>89</v>
      </c>
      <c r="AG32">
        <v>76</v>
      </c>
      <c r="AH32">
        <v>86</v>
      </c>
      <c r="AI32">
        <v>60</v>
      </c>
      <c r="AJ32">
        <v>64</v>
      </c>
      <c r="AK32">
        <v>51</v>
      </c>
      <c r="AL32">
        <v>10</v>
      </c>
      <c r="AM32">
        <v>8</v>
      </c>
      <c r="AN32">
        <v>12</v>
      </c>
      <c r="AO32">
        <v>15</v>
      </c>
      <c r="AP32">
        <v>6</v>
      </c>
    </row>
    <row r="33" spans="1:42" x14ac:dyDescent="0.25">
      <c r="A33">
        <v>31</v>
      </c>
      <c r="B33" t="s">
        <v>114</v>
      </c>
      <c r="C33">
        <v>26</v>
      </c>
      <c r="D33" t="s">
        <v>115</v>
      </c>
      <c r="E33" t="s">
        <v>88</v>
      </c>
      <c r="F33">
        <v>73500000</v>
      </c>
      <c r="G33">
        <v>205000</v>
      </c>
      <c r="H33" t="s">
        <v>90</v>
      </c>
      <c r="I33">
        <v>88</v>
      </c>
      <c r="J33">
        <v>80</v>
      </c>
      <c r="K33">
        <v>52</v>
      </c>
      <c r="L33">
        <v>91</v>
      </c>
      <c r="M33">
        <v>77</v>
      </c>
      <c r="N33">
        <v>84</v>
      </c>
      <c r="O33">
        <v>86</v>
      </c>
      <c r="P33">
        <v>87</v>
      </c>
      <c r="Q33">
        <v>88</v>
      </c>
      <c r="R33">
        <v>91</v>
      </c>
      <c r="S33">
        <v>75</v>
      </c>
      <c r="T33">
        <v>73</v>
      </c>
      <c r="U33">
        <v>79</v>
      </c>
      <c r="V33">
        <v>88</v>
      </c>
      <c r="W33">
        <v>81</v>
      </c>
      <c r="X33">
        <v>84</v>
      </c>
      <c r="Y33">
        <v>50</v>
      </c>
      <c r="Z33">
        <v>92</v>
      </c>
      <c r="AA33">
        <v>58</v>
      </c>
      <c r="AB33">
        <v>89</v>
      </c>
      <c r="AC33">
        <v>46</v>
      </c>
      <c r="AD33">
        <v>56</v>
      </c>
      <c r="AE33">
        <v>83</v>
      </c>
      <c r="AF33">
        <v>91</v>
      </c>
      <c r="AG33">
        <v>67</v>
      </c>
      <c r="AH33">
        <v>88</v>
      </c>
      <c r="AI33">
        <v>59</v>
      </c>
      <c r="AJ33">
        <v>57</v>
      </c>
      <c r="AK33">
        <v>22</v>
      </c>
      <c r="AL33">
        <v>9</v>
      </c>
      <c r="AM33">
        <v>14</v>
      </c>
      <c r="AN33">
        <v>7</v>
      </c>
      <c r="AO33">
        <v>7</v>
      </c>
      <c r="AP33">
        <v>6</v>
      </c>
    </row>
    <row r="34" spans="1:42" x14ac:dyDescent="0.25">
      <c r="A34">
        <v>32</v>
      </c>
      <c r="B34" t="s">
        <v>116</v>
      </c>
      <c r="C34">
        <v>26</v>
      </c>
      <c r="D34" t="s">
        <v>48</v>
      </c>
      <c r="E34" t="s">
        <v>41</v>
      </c>
      <c r="F34">
        <v>69500000</v>
      </c>
      <c r="G34">
        <v>340000</v>
      </c>
      <c r="H34" t="s">
        <v>50</v>
      </c>
      <c r="I34">
        <v>79</v>
      </c>
      <c r="J34">
        <v>79</v>
      </c>
      <c r="K34">
        <v>48</v>
      </c>
      <c r="L34">
        <v>88</v>
      </c>
      <c r="M34">
        <v>75</v>
      </c>
      <c r="N34">
        <v>91</v>
      </c>
      <c r="O34">
        <v>91</v>
      </c>
      <c r="P34">
        <v>86</v>
      </c>
      <c r="Q34">
        <v>83</v>
      </c>
      <c r="R34">
        <v>92</v>
      </c>
      <c r="S34">
        <v>89</v>
      </c>
      <c r="T34">
        <v>75</v>
      </c>
      <c r="U34">
        <v>92</v>
      </c>
      <c r="V34">
        <v>83</v>
      </c>
      <c r="W34">
        <v>93</v>
      </c>
      <c r="X34">
        <v>83</v>
      </c>
      <c r="Y34">
        <v>59</v>
      </c>
      <c r="Z34">
        <v>79</v>
      </c>
      <c r="AA34">
        <v>61</v>
      </c>
      <c r="AB34">
        <v>93</v>
      </c>
      <c r="AC34">
        <v>59</v>
      </c>
      <c r="AD34">
        <v>49</v>
      </c>
      <c r="AE34">
        <v>84</v>
      </c>
      <c r="AF34">
        <v>90</v>
      </c>
      <c r="AG34">
        <v>70</v>
      </c>
      <c r="AH34">
        <v>85</v>
      </c>
      <c r="AI34">
        <v>55</v>
      </c>
      <c r="AJ34">
        <v>54</v>
      </c>
      <c r="AK34">
        <v>47</v>
      </c>
      <c r="AL34">
        <v>12</v>
      </c>
      <c r="AM34">
        <v>7</v>
      </c>
      <c r="AN34">
        <v>9</v>
      </c>
      <c r="AO34">
        <v>14</v>
      </c>
      <c r="AP34">
        <v>6</v>
      </c>
    </row>
    <row r="35" spans="1:42" x14ac:dyDescent="0.25">
      <c r="A35">
        <v>33</v>
      </c>
      <c r="B35" t="s">
        <v>117</v>
      </c>
      <c r="C35">
        <v>29</v>
      </c>
      <c r="D35" t="s">
        <v>118</v>
      </c>
      <c r="E35" t="s">
        <v>119</v>
      </c>
      <c r="F35">
        <v>59000000</v>
      </c>
      <c r="G35">
        <v>265000</v>
      </c>
      <c r="H35" t="s">
        <v>120</v>
      </c>
      <c r="I35">
        <v>77</v>
      </c>
      <c r="J35">
        <v>88</v>
      </c>
      <c r="K35">
        <v>79</v>
      </c>
      <c r="L35">
        <v>77</v>
      </c>
      <c r="M35">
        <v>86</v>
      </c>
      <c r="N35">
        <v>79</v>
      </c>
      <c r="O35">
        <v>80</v>
      </c>
      <c r="P35">
        <v>74</v>
      </c>
      <c r="Q35">
        <v>64</v>
      </c>
      <c r="R35">
        <v>82</v>
      </c>
      <c r="S35">
        <v>93</v>
      </c>
      <c r="T35">
        <v>95</v>
      </c>
      <c r="U35">
        <v>76</v>
      </c>
      <c r="V35">
        <v>87</v>
      </c>
      <c r="W35">
        <v>70</v>
      </c>
      <c r="X35">
        <v>82</v>
      </c>
      <c r="Y35">
        <v>79</v>
      </c>
      <c r="Z35">
        <v>76</v>
      </c>
      <c r="AA35">
        <v>76</v>
      </c>
      <c r="AB35">
        <v>79</v>
      </c>
      <c r="AC35">
        <v>43</v>
      </c>
      <c r="AD35">
        <v>48</v>
      </c>
      <c r="AE35">
        <v>90</v>
      </c>
      <c r="AF35">
        <v>77</v>
      </c>
      <c r="AG35">
        <v>76</v>
      </c>
      <c r="AH35">
        <v>86</v>
      </c>
      <c r="AI35">
        <v>27</v>
      </c>
      <c r="AJ35">
        <v>25</v>
      </c>
      <c r="AK35">
        <v>36</v>
      </c>
      <c r="AL35">
        <v>6</v>
      </c>
      <c r="AM35">
        <v>9</v>
      </c>
      <c r="AN35">
        <v>15</v>
      </c>
      <c r="AO35">
        <v>9</v>
      </c>
      <c r="AP35">
        <v>9</v>
      </c>
    </row>
    <row r="36" spans="1:42" x14ac:dyDescent="0.25">
      <c r="A36">
        <v>34</v>
      </c>
      <c r="B36" t="s">
        <v>121</v>
      </c>
      <c r="C36">
        <v>29</v>
      </c>
      <c r="D36" t="s">
        <v>77</v>
      </c>
      <c r="E36" t="s">
        <v>75</v>
      </c>
      <c r="F36">
        <v>46000000</v>
      </c>
      <c r="G36">
        <v>160000</v>
      </c>
      <c r="H36" t="s">
        <v>101</v>
      </c>
      <c r="I36">
        <v>64</v>
      </c>
      <c r="J36">
        <v>55</v>
      </c>
      <c r="K36">
        <v>87</v>
      </c>
      <c r="L36">
        <v>81</v>
      </c>
      <c r="M36">
        <v>60</v>
      </c>
      <c r="N36">
        <v>68</v>
      </c>
      <c r="O36">
        <v>65</v>
      </c>
      <c r="P36">
        <v>53</v>
      </c>
      <c r="Q36">
        <v>85</v>
      </c>
      <c r="R36">
        <v>81</v>
      </c>
      <c r="S36">
        <v>53</v>
      </c>
      <c r="T36">
        <v>64</v>
      </c>
      <c r="U36">
        <v>63</v>
      </c>
      <c r="V36">
        <v>87</v>
      </c>
      <c r="W36">
        <v>60</v>
      </c>
      <c r="X36">
        <v>71</v>
      </c>
      <c r="Y36">
        <v>68</v>
      </c>
      <c r="Z36">
        <v>66</v>
      </c>
      <c r="AA36">
        <v>84</v>
      </c>
      <c r="AB36">
        <v>51</v>
      </c>
      <c r="AC36">
        <v>69</v>
      </c>
      <c r="AD36">
        <v>92</v>
      </c>
      <c r="AE36">
        <v>56</v>
      </c>
      <c r="AF36">
        <v>79</v>
      </c>
      <c r="AG36">
        <v>68</v>
      </c>
      <c r="AH36">
        <v>91</v>
      </c>
      <c r="AI36">
        <v>88</v>
      </c>
      <c r="AJ36">
        <v>90</v>
      </c>
      <c r="AK36">
        <v>88</v>
      </c>
      <c r="AL36">
        <v>15</v>
      </c>
      <c r="AM36">
        <v>6</v>
      </c>
      <c r="AN36">
        <v>10</v>
      </c>
      <c r="AO36">
        <v>5</v>
      </c>
      <c r="AP36">
        <v>6</v>
      </c>
    </row>
    <row r="37" spans="1:42" x14ac:dyDescent="0.25">
      <c r="A37">
        <v>35</v>
      </c>
      <c r="B37" t="s">
        <v>122</v>
      </c>
      <c r="C37">
        <v>30</v>
      </c>
      <c r="D37" t="s">
        <v>48</v>
      </c>
      <c r="E37" t="s">
        <v>64</v>
      </c>
      <c r="F37">
        <v>43000000</v>
      </c>
      <c r="G37">
        <v>285000</v>
      </c>
      <c r="H37" t="s">
        <v>123</v>
      </c>
      <c r="I37">
        <v>90</v>
      </c>
      <c r="J37">
        <v>70</v>
      </c>
      <c r="K37">
        <v>75</v>
      </c>
      <c r="L37">
        <v>84</v>
      </c>
      <c r="M37">
        <v>54</v>
      </c>
      <c r="N37">
        <v>90</v>
      </c>
      <c r="O37">
        <v>85</v>
      </c>
      <c r="P37">
        <v>67</v>
      </c>
      <c r="Q37">
        <v>76</v>
      </c>
      <c r="R37">
        <v>92</v>
      </c>
      <c r="S37">
        <v>83</v>
      </c>
      <c r="T37">
        <v>82</v>
      </c>
      <c r="U37">
        <v>86</v>
      </c>
      <c r="V37">
        <v>88</v>
      </c>
      <c r="W37">
        <v>86</v>
      </c>
      <c r="X37">
        <v>83</v>
      </c>
      <c r="Y37">
        <v>76</v>
      </c>
      <c r="Z37">
        <v>91</v>
      </c>
      <c r="AA37">
        <v>78</v>
      </c>
      <c r="AB37">
        <v>70</v>
      </c>
      <c r="AC37">
        <v>84</v>
      </c>
      <c r="AD37">
        <v>85</v>
      </c>
      <c r="AE37">
        <v>85</v>
      </c>
      <c r="AF37">
        <v>82</v>
      </c>
      <c r="AG37">
        <v>59</v>
      </c>
      <c r="AH37">
        <v>86</v>
      </c>
      <c r="AI37">
        <v>71</v>
      </c>
      <c r="AJ37">
        <v>85</v>
      </c>
      <c r="AK37">
        <v>86</v>
      </c>
      <c r="AL37">
        <v>12</v>
      </c>
      <c r="AM37">
        <v>5</v>
      </c>
      <c r="AN37">
        <v>5</v>
      </c>
      <c r="AO37">
        <v>5</v>
      </c>
      <c r="AP37">
        <v>9</v>
      </c>
    </row>
    <row r="38" spans="1:42" x14ac:dyDescent="0.25">
      <c r="A38">
        <v>36</v>
      </c>
      <c r="B38" t="s">
        <v>124</v>
      </c>
      <c r="C38">
        <v>28</v>
      </c>
      <c r="D38" t="s">
        <v>125</v>
      </c>
      <c r="E38" t="s">
        <v>64</v>
      </c>
      <c r="F38">
        <v>60000000</v>
      </c>
      <c r="G38">
        <v>355000</v>
      </c>
      <c r="H38" t="s">
        <v>46</v>
      </c>
      <c r="I38">
        <v>87</v>
      </c>
      <c r="J38">
        <v>86</v>
      </c>
      <c r="K38">
        <v>84</v>
      </c>
      <c r="L38">
        <v>85</v>
      </c>
      <c r="M38">
        <v>85</v>
      </c>
      <c r="N38">
        <v>87</v>
      </c>
      <c r="O38">
        <v>90</v>
      </c>
      <c r="P38">
        <v>87</v>
      </c>
      <c r="Q38">
        <v>80</v>
      </c>
      <c r="R38">
        <v>85</v>
      </c>
      <c r="S38">
        <v>94</v>
      </c>
      <c r="T38">
        <v>95</v>
      </c>
      <c r="U38">
        <v>82</v>
      </c>
      <c r="V38">
        <v>85</v>
      </c>
      <c r="W38">
        <v>65</v>
      </c>
      <c r="X38">
        <v>92</v>
      </c>
      <c r="Y38">
        <v>87</v>
      </c>
      <c r="Z38">
        <v>75</v>
      </c>
      <c r="AA38">
        <v>80</v>
      </c>
      <c r="AB38">
        <v>91</v>
      </c>
      <c r="AC38">
        <v>65</v>
      </c>
      <c r="AD38">
        <v>59</v>
      </c>
      <c r="AE38">
        <v>85</v>
      </c>
      <c r="AF38">
        <v>79</v>
      </c>
      <c r="AG38">
        <v>76</v>
      </c>
      <c r="AH38">
        <v>86</v>
      </c>
      <c r="AI38">
        <v>54</v>
      </c>
      <c r="AJ38">
        <v>55</v>
      </c>
      <c r="AK38">
        <v>52</v>
      </c>
      <c r="AL38">
        <v>15</v>
      </c>
      <c r="AM38">
        <v>15</v>
      </c>
      <c r="AN38">
        <v>11</v>
      </c>
      <c r="AO38">
        <v>5</v>
      </c>
      <c r="AP38">
        <v>6</v>
      </c>
    </row>
    <row r="39" spans="1:42" x14ac:dyDescent="0.25">
      <c r="A39">
        <v>37</v>
      </c>
      <c r="B39" t="s">
        <v>126</v>
      </c>
      <c r="C39">
        <v>31</v>
      </c>
      <c r="D39" t="s">
        <v>83</v>
      </c>
      <c r="E39" t="s">
        <v>88</v>
      </c>
      <c r="F39">
        <v>36000000</v>
      </c>
      <c r="G39">
        <v>150000</v>
      </c>
      <c r="H39" t="s">
        <v>54</v>
      </c>
      <c r="I39">
        <v>13</v>
      </c>
      <c r="J39">
        <v>10</v>
      </c>
      <c r="K39">
        <v>10</v>
      </c>
      <c r="L39">
        <v>50</v>
      </c>
      <c r="M39">
        <v>11</v>
      </c>
      <c r="N39">
        <v>10</v>
      </c>
      <c r="O39">
        <v>11</v>
      </c>
      <c r="P39">
        <v>10</v>
      </c>
      <c r="Q39">
        <v>50</v>
      </c>
      <c r="R39">
        <v>34</v>
      </c>
      <c r="S39">
        <v>65</v>
      </c>
      <c r="T39">
        <v>62</v>
      </c>
      <c r="U39">
        <v>55</v>
      </c>
      <c r="V39">
        <v>85</v>
      </c>
      <c r="W39">
        <v>54</v>
      </c>
      <c r="X39">
        <v>23</v>
      </c>
      <c r="Y39">
        <v>74</v>
      </c>
      <c r="Z39">
        <v>41</v>
      </c>
      <c r="AA39">
        <v>43</v>
      </c>
      <c r="AB39">
        <v>14</v>
      </c>
      <c r="AC39">
        <v>31</v>
      </c>
      <c r="AD39">
        <v>27</v>
      </c>
      <c r="AE39">
        <v>10</v>
      </c>
      <c r="AF39">
        <v>30</v>
      </c>
      <c r="AG39">
        <v>40</v>
      </c>
      <c r="AH39">
        <v>65</v>
      </c>
      <c r="AI39">
        <v>29</v>
      </c>
      <c r="AJ39">
        <v>10</v>
      </c>
      <c r="AK39">
        <v>18</v>
      </c>
      <c r="AL39">
        <v>88</v>
      </c>
      <c r="AM39">
        <v>84</v>
      </c>
      <c r="AN39">
        <v>68</v>
      </c>
      <c r="AO39">
        <v>83</v>
      </c>
      <c r="AP39">
        <v>92</v>
      </c>
    </row>
    <row r="40" spans="1:42" x14ac:dyDescent="0.25">
      <c r="A40">
        <v>38</v>
      </c>
      <c r="B40" t="s">
        <v>127</v>
      </c>
      <c r="C40">
        <v>30</v>
      </c>
      <c r="D40" t="s">
        <v>40</v>
      </c>
      <c r="E40" t="s">
        <v>128</v>
      </c>
      <c r="F40">
        <v>57000000</v>
      </c>
      <c r="G40">
        <v>245000</v>
      </c>
      <c r="H40" t="s">
        <v>96</v>
      </c>
      <c r="I40">
        <v>68</v>
      </c>
      <c r="J40">
        <v>92</v>
      </c>
      <c r="K40">
        <v>80</v>
      </c>
      <c r="L40">
        <v>75</v>
      </c>
      <c r="M40">
        <v>90</v>
      </c>
      <c r="N40">
        <v>84</v>
      </c>
      <c r="O40">
        <v>74</v>
      </c>
      <c r="P40">
        <v>62</v>
      </c>
      <c r="Q40">
        <v>59</v>
      </c>
      <c r="R40">
        <v>85</v>
      </c>
      <c r="S40">
        <v>73</v>
      </c>
      <c r="T40">
        <v>73</v>
      </c>
      <c r="U40">
        <v>75</v>
      </c>
      <c r="V40">
        <v>86</v>
      </c>
      <c r="W40">
        <v>69</v>
      </c>
      <c r="X40">
        <v>86</v>
      </c>
      <c r="Y40">
        <v>79</v>
      </c>
      <c r="Z40">
        <v>70</v>
      </c>
      <c r="AA40">
        <v>85</v>
      </c>
      <c r="AB40">
        <v>80</v>
      </c>
      <c r="AC40">
        <v>50</v>
      </c>
      <c r="AD40">
        <v>20</v>
      </c>
      <c r="AE40">
        <v>92</v>
      </c>
      <c r="AF40">
        <v>74</v>
      </c>
      <c r="AG40">
        <v>70</v>
      </c>
      <c r="AH40">
        <v>86</v>
      </c>
      <c r="AI40">
        <v>35</v>
      </c>
      <c r="AJ40">
        <v>22</v>
      </c>
      <c r="AK40">
        <v>18</v>
      </c>
      <c r="AL40">
        <v>5</v>
      </c>
      <c r="AM40">
        <v>12</v>
      </c>
      <c r="AN40">
        <v>7</v>
      </c>
      <c r="AO40">
        <v>5</v>
      </c>
      <c r="AP40">
        <v>10</v>
      </c>
    </row>
    <row r="41" spans="1:42" x14ac:dyDescent="0.25">
      <c r="A41">
        <v>39</v>
      </c>
      <c r="B41" t="s">
        <v>129</v>
      </c>
      <c r="C41">
        <v>33</v>
      </c>
      <c r="D41" t="s">
        <v>48</v>
      </c>
      <c r="E41" t="s">
        <v>49</v>
      </c>
      <c r="F41">
        <v>24000000</v>
      </c>
      <c r="G41">
        <v>165000</v>
      </c>
      <c r="H41" t="s">
        <v>69</v>
      </c>
      <c r="I41">
        <v>60</v>
      </c>
      <c r="J41">
        <v>38</v>
      </c>
      <c r="K41">
        <v>81</v>
      </c>
      <c r="L41">
        <v>80</v>
      </c>
      <c r="M41">
        <v>63</v>
      </c>
      <c r="N41">
        <v>62</v>
      </c>
      <c r="O41">
        <v>61</v>
      </c>
      <c r="P41">
        <v>64</v>
      </c>
      <c r="Q41">
        <v>80</v>
      </c>
      <c r="R41">
        <v>80</v>
      </c>
      <c r="S41">
        <v>70</v>
      </c>
      <c r="T41">
        <v>72</v>
      </c>
      <c r="U41">
        <v>68</v>
      </c>
      <c r="V41">
        <v>82</v>
      </c>
      <c r="W41">
        <v>68</v>
      </c>
      <c r="X41">
        <v>71</v>
      </c>
      <c r="Y41">
        <v>90</v>
      </c>
      <c r="Z41">
        <v>74</v>
      </c>
      <c r="AA41">
        <v>82</v>
      </c>
      <c r="AB41">
        <v>68</v>
      </c>
      <c r="AC41">
        <v>76</v>
      </c>
      <c r="AD41">
        <v>89</v>
      </c>
      <c r="AE41">
        <v>59</v>
      </c>
      <c r="AF41">
        <v>72</v>
      </c>
      <c r="AG41">
        <v>60</v>
      </c>
      <c r="AH41">
        <v>81</v>
      </c>
      <c r="AI41">
        <v>88</v>
      </c>
      <c r="AJ41">
        <v>89</v>
      </c>
      <c r="AK41">
        <v>85</v>
      </c>
      <c r="AL41">
        <v>9</v>
      </c>
      <c r="AM41">
        <v>12</v>
      </c>
      <c r="AN41">
        <v>5</v>
      </c>
      <c r="AO41">
        <v>9</v>
      </c>
      <c r="AP41">
        <v>10</v>
      </c>
    </row>
    <row r="42" spans="1:42" x14ac:dyDescent="0.25">
      <c r="A42">
        <v>40</v>
      </c>
      <c r="B42" t="s">
        <v>130</v>
      </c>
      <c r="C42">
        <v>33</v>
      </c>
      <c r="D42" t="s">
        <v>71</v>
      </c>
      <c r="E42" t="s">
        <v>131</v>
      </c>
      <c r="F42">
        <v>30000000</v>
      </c>
      <c r="G42">
        <v>110000</v>
      </c>
      <c r="H42" t="s">
        <v>54</v>
      </c>
      <c r="I42">
        <v>12</v>
      </c>
      <c r="J42">
        <v>10</v>
      </c>
      <c r="K42">
        <v>10</v>
      </c>
      <c r="L42">
        <v>36</v>
      </c>
      <c r="M42">
        <v>12</v>
      </c>
      <c r="N42">
        <v>12</v>
      </c>
      <c r="O42">
        <v>12</v>
      </c>
      <c r="P42">
        <v>14</v>
      </c>
      <c r="Q42">
        <v>34</v>
      </c>
      <c r="R42">
        <v>16</v>
      </c>
      <c r="S42">
        <v>51</v>
      </c>
      <c r="T42">
        <v>55</v>
      </c>
      <c r="U42">
        <v>47</v>
      </c>
      <c r="V42">
        <v>83</v>
      </c>
      <c r="W42">
        <v>36</v>
      </c>
      <c r="X42">
        <v>22</v>
      </c>
      <c r="Y42">
        <v>78</v>
      </c>
      <c r="Z42">
        <v>41</v>
      </c>
      <c r="AA42">
        <v>71</v>
      </c>
      <c r="AB42">
        <v>19</v>
      </c>
      <c r="AC42">
        <v>25</v>
      </c>
      <c r="AD42">
        <v>22</v>
      </c>
      <c r="AE42">
        <v>12</v>
      </c>
      <c r="AF42">
        <v>41</v>
      </c>
      <c r="AG42">
        <v>23</v>
      </c>
      <c r="AH42">
        <v>69</v>
      </c>
      <c r="AI42">
        <v>25</v>
      </c>
      <c r="AJ42">
        <v>10</v>
      </c>
      <c r="AK42">
        <v>13</v>
      </c>
      <c r="AL42">
        <v>87</v>
      </c>
      <c r="AM42">
        <v>86</v>
      </c>
      <c r="AN42">
        <v>69</v>
      </c>
      <c r="AO42">
        <v>89</v>
      </c>
      <c r="AP42">
        <v>89</v>
      </c>
    </row>
    <row r="43" spans="1:42" x14ac:dyDescent="0.25">
      <c r="A43">
        <v>41</v>
      </c>
      <c r="B43" t="s">
        <v>132</v>
      </c>
      <c r="C43">
        <v>40</v>
      </c>
      <c r="D43" t="s">
        <v>100</v>
      </c>
      <c r="E43" t="s">
        <v>49</v>
      </c>
      <c r="F43">
        <v>4000000</v>
      </c>
      <c r="G43">
        <v>77000</v>
      </c>
      <c r="H43" t="s">
        <v>54</v>
      </c>
      <c r="I43">
        <v>13</v>
      </c>
      <c r="J43">
        <v>15</v>
      </c>
      <c r="K43">
        <v>13</v>
      </c>
      <c r="L43">
        <v>37</v>
      </c>
      <c r="M43">
        <v>17</v>
      </c>
      <c r="N43">
        <v>26</v>
      </c>
      <c r="O43">
        <v>20</v>
      </c>
      <c r="P43">
        <v>13</v>
      </c>
      <c r="Q43">
        <v>35</v>
      </c>
      <c r="R43">
        <v>28</v>
      </c>
      <c r="S43">
        <v>49</v>
      </c>
      <c r="T43">
        <v>43</v>
      </c>
      <c r="U43">
        <v>55</v>
      </c>
      <c r="V43">
        <v>79</v>
      </c>
      <c r="W43">
        <v>49</v>
      </c>
      <c r="X43">
        <v>39</v>
      </c>
      <c r="Y43">
        <v>75</v>
      </c>
      <c r="Z43">
        <v>39</v>
      </c>
      <c r="AA43">
        <v>69</v>
      </c>
      <c r="AB43">
        <v>13</v>
      </c>
      <c r="AC43">
        <v>38</v>
      </c>
      <c r="AD43">
        <v>28</v>
      </c>
      <c r="AE43">
        <v>12</v>
      </c>
      <c r="AF43">
        <v>50</v>
      </c>
      <c r="AG43">
        <v>22</v>
      </c>
      <c r="AH43">
        <v>70</v>
      </c>
      <c r="AI43">
        <v>13</v>
      </c>
      <c r="AJ43">
        <v>11</v>
      </c>
      <c r="AK43">
        <v>11</v>
      </c>
      <c r="AL43">
        <v>88</v>
      </c>
      <c r="AM43">
        <v>87</v>
      </c>
      <c r="AN43">
        <v>74</v>
      </c>
      <c r="AO43">
        <v>90</v>
      </c>
      <c r="AP43">
        <v>83</v>
      </c>
    </row>
    <row r="44" spans="1:42" x14ac:dyDescent="0.25">
      <c r="A44">
        <v>42</v>
      </c>
      <c r="B44" t="s">
        <v>133</v>
      </c>
      <c r="C44">
        <v>24</v>
      </c>
      <c r="D44" t="s">
        <v>83</v>
      </c>
      <c r="E44" t="s">
        <v>41</v>
      </c>
      <c r="F44">
        <v>57000000</v>
      </c>
      <c r="G44">
        <v>205000</v>
      </c>
      <c r="H44" t="s">
        <v>80</v>
      </c>
      <c r="I44">
        <v>69</v>
      </c>
      <c r="J44">
        <v>51</v>
      </c>
      <c r="K44">
        <v>79</v>
      </c>
      <c r="L44">
        <v>81</v>
      </c>
      <c r="M44">
        <v>70</v>
      </c>
      <c r="N44">
        <v>69</v>
      </c>
      <c r="O44">
        <v>72</v>
      </c>
      <c r="P44">
        <v>62</v>
      </c>
      <c r="Q44">
        <v>73</v>
      </c>
      <c r="R44">
        <v>77</v>
      </c>
      <c r="S44">
        <v>71</v>
      </c>
      <c r="T44">
        <v>73</v>
      </c>
      <c r="U44">
        <v>68</v>
      </c>
      <c r="V44">
        <v>82</v>
      </c>
      <c r="W44">
        <v>66</v>
      </c>
      <c r="X44">
        <v>83</v>
      </c>
      <c r="Y44">
        <v>89</v>
      </c>
      <c r="Z44">
        <v>78</v>
      </c>
      <c r="AA44">
        <v>84</v>
      </c>
      <c r="AB44">
        <v>74</v>
      </c>
      <c r="AC44">
        <v>81</v>
      </c>
      <c r="AD44">
        <v>87</v>
      </c>
      <c r="AE44">
        <v>58</v>
      </c>
      <c r="AF44">
        <v>58</v>
      </c>
      <c r="AG44">
        <v>61</v>
      </c>
      <c r="AH44">
        <v>82</v>
      </c>
      <c r="AI44">
        <v>90</v>
      </c>
      <c r="AJ44">
        <v>89</v>
      </c>
      <c r="AK44">
        <v>86</v>
      </c>
      <c r="AL44">
        <v>15</v>
      </c>
      <c r="AM44">
        <v>10</v>
      </c>
      <c r="AN44">
        <v>14</v>
      </c>
      <c r="AO44">
        <v>12</v>
      </c>
      <c r="AP44">
        <v>15</v>
      </c>
    </row>
    <row r="45" spans="1:42" x14ac:dyDescent="0.25">
      <c r="A45">
        <v>43</v>
      </c>
      <c r="B45" t="s">
        <v>134</v>
      </c>
      <c r="C45">
        <v>25</v>
      </c>
      <c r="D45" t="s">
        <v>40</v>
      </c>
      <c r="E45" t="s">
        <v>131</v>
      </c>
      <c r="F45">
        <v>64500000</v>
      </c>
      <c r="G45">
        <v>130000</v>
      </c>
      <c r="H45" t="s">
        <v>46</v>
      </c>
      <c r="I45">
        <v>46</v>
      </c>
      <c r="J45">
        <v>91</v>
      </c>
      <c r="K45">
        <v>91</v>
      </c>
      <c r="L45">
        <v>73</v>
      </c>
      <c r="M45">
        <v>85</v>
      </c>
      <c r="N45">
        <v>77</v>
      </c>
      <c r="O45">
        <v>58</v>
      </c>
      <c r="P45">
        <v>45</v>
      </c>
      <c r="Q45">
        <v>54</v>
      </c>
      <c r="R45">
        <v>81</v>
      </c>
      <c r="S45">
        <v>77</v>
      </c>
      <c r="T45">
        <v>78</v>
      </c>
      <c r="U45">
        <v>76</v>
      </c>
      <c r="V45">
        <v>88</v>
      </c>
      <c r="W45">
        <v>76</v>
      </c>
      <c r="X45">
        <v>84</v>
      </c>
      <c r="Y45">
        <v>94</v>
      </c>
      <c r="Z45">
        <v>72</v>
      </c>
      <c r="AA45">
        <v>76</v>
      </c>
      <c r="AB45">
        <v>70</v>
      </c>
      <c r="AC45">
        <v>56</v>
      </c>
      <c r="AD45">
        <v>22</v>
      </c>
      <c r="AE45">
        <v>92</v>
      </c>
      <c r="AF45">
        <v>64</v>
      </c>
      <c r="AG45">
        <v>82</v>
      </c>
      <c r="AH45">
        <v>85</v>
      </c>
      <c r="AI45">
        <v>45</v>
      </c>
      <c r="AJ45">
        <v>24</v>
      </c>
      <c r="AK45">
        <v>20</v>
      </c>
      <c r="AL45">
        <v>13</v>
      </c>
      <c r="AM45">
        <v>9</v>
      </c>
      <c r="AN45">
        <v>5</v>
      </c>
      <c r="AO45">
        <v>7</v>
      </c>
      <c r="AP45">
        <v>9</v>
      </c>
    </row>
    <row r="46" spans="1:42" x14ac:dyDescent="0.25">
      <c r="A46">
        <v>44</v>
      </c>
      <c r="B46" t="s">
        <v>135</v>
      </c>
      <c r="C46">
        <v>27</v>
      </c>
      <c r="D46" t="s">
        <v>136</v>
      </c>
      <c r="E46" t="s">
        <v>112</v>
      </c>
      <c r="F46">
        <v>51000000</v>
      </c>
      <c r="G46">
        <v>115000</v>
      </c>
      <c r="H46" t="s">
        <v>101</v>
      </c>
      <c r="I46">
        <v>30</v>
      </c>
      <c r="J46">
        <v>19</v>
      </c>
      <c r="K46">
        <v>81</v>
      </c>
      <c r="L46">
        <v>66</v>
      </c>
      <c r="M46">
        <v>14</v>
      </c>
      <c r="N46">
        <v>66</v>
      </c>
      <c r="O46">
        <v>28</v>
      </c>
      <c r="P46">
        <v>28</v>
      </c>
      <c r="Q46">
        <v>56</v>
      </c>
      <c r="R46">
        <v>60</v>
      </c>
      <c r="S46">
        <v>68</v>
      </c>
      <c r="T46">
        <v>75</v>
      </c>
      <c r="U46">
        <v>50</v>
      </c>
      <c r="V46">
        <v>80</v>
      </c>
      <c r="W46">
        <v>40</v>
      </c>
      <c r="X46">
        <v>55</v>
      </c>
      <c r="Y46">
        <v>81</v>
      </c>
      <c r="Z46">
        <v>71</v>
      </c>
      <c r="AA46">
        <v>94</v>
      </c>
      <c r="AB46">
        <v>15</v>
      </c>
      <c r="AC46">
        <v>87</v>
      </c>
      <c r="AD46">
        <v>88</v>
      </c>
      <c r="AE46">
        <v>24</v>
      </c>
      <c r="AF46">
        <v>43</v>
      </c>
      <c r="AG46">
        <v>33</v>
      </c>
      <c r="AH46">
        <v>78</v>
      </c>
      <c r="AI46">
        <v>91</v>
      </c>
      <c r="AJ46">
        <v>88</v>
      </c>
      <c r="AK46">
        <v>86</v>
      </c>
      <c r="AL46">
        <v>7</v>
      </c>
      <c r="AM46">
        <v>11</v>
      </c>
      <c r="AN46">
        <v>7</v>
      </c>
      <c r="AO46">
        <v>13</v>
      </c>
      <c r="AP46">
        <v>5</v>
      </c>
    </row>
    <row r="47" spans="1:42" x14ac:dyDescent="0.25">
      <c r="A47">
        <v>45</v>
      </c>
      <c r="B47" t="s">
        <v>137</v>
      </c>
      <c r="C47">
        <v>25</v>
      </c>
      <c r="D47" t="s">
        <v>83</v>
      </c>
      <c r="E47" t="s">
        <v>53</v>
      </c>
      <c r="F47">
        <v>64000000</v>
      </c>
      <c r="G47">
        <v>210000</v>
      </c>
      <c r="H47" t="s">
        <v>138</v>
      </c>
      <c r="I47">
        <v>80</v>
      </c>
      <c r="J47">
        <v>73</v>
      </c>
      <c r="K47">
        <v>73</v>
      </c>
      <c r="L47">
        <v>86</v>
      </c>
      <c r="M47">
        <v>85</v>
      </c>
      <c r="N47">
        <v>87</v>
      </c>
      <c r="O47">
        <v>84</v>
      </c>
      <c r="P47">
        <v>82</v>
      </c>
      <c r="Q47">
        <v>90</v>
      </c>
      <c r="R47">
        <v>90</v>
      </c>
      <c r="S47">
        <v>71</v>
      </c>
      <c r="T47">
        <v>79</v>
      </c>
      <c r="U47">
        <v>74</v>
      </c>
      <c r="V47">
        <v>81</v>
      </c>
      <c r="W47">
        <v>64</v>
      </c>
      <c r="X47">
        <v>90</v>
      </c>
      <c r="Y47">
        <v>83</v>
      </c>
      <c r="Z47">
        <v>88</v>
      </c>
      <c r="AA47">
        <v>89</v>
      </c>
      <c r="AB47">
        <v>81</v>
      </c>
      <c r="AC47">
        <v>78</v>
      </c>
      <c r="AD47">
        <v>66</v>
      </c>
      <c r="AE47">
        <v>81</v>
      </c>
      <c r="AF47">
        <v>87</v>
      </c>
      <c r="AG47">
        <v>81</v>
      </c>
      <c r="AH47">
        <v>87</v>
      </c>
      <c r="AI47">
        <v>66</v>
      </c>
      <c r="AJ47">
        <v>70</v>
      </c>
      <c r="AK47">
        <v>68</v>
      </c>
      <c r="AL47">
        <v>5</v>
      </c>
      <c r="AM47">
        <v>6</v>
      </c>
      <c r="AN47">
        <v>2</v>
      </c>
      <c r="AO47">
        <v>4</v>
      </c>
      <c r="AP47">
        <v>3</v>
      </c>
    </row>
    <row r="48" spans="1:42" x14ac:dyDescent="0.25">
      <c r="A48">
        <v>46</v>
      </c>
      <c r="B48" t="s">
        <v>139</v>
      </c>
      <c r="C48">
        <v>31</v>
      </c>
      <c r="D48" t="s">
        <v>140</v>
      </c>
      <c r="E48" t="s">
        <v>64</v>
      </c>
      <c r="F48">
        <v>30500000</v>
      </c>
      <c r="G48">
        <v>195000</v>
      </c>
      <c r="H48" t="s">
        <v>54</v>
      </c>
      <c r="I48">
        <v>11</v>
      </c>
      <c r="J48">
        <v>15</v>
      </c>
      <c r="K48">
        <v>11</v>
      </c>
      <c r="L48">
        <v>30</v>
      </c>
      <c r="M48">
        <v>11</v>
      </c>
      <c r="N48">
        <v>16</v>
      </c>
      <c r="O48">
        <v>11</v>
      </c>
      <c r="P48">
        <v>15</v>
      </c>
      <c r="Q48">
        <v>37</v>
      </c>
      <c r="R48">
        <v>19</v>
      </c>
      <c r="S48">
        <v>54</v>
      </c>
      <c r="T48">
        <v>53</v>
      </c>
      <c r="U48">
        <v>60</v>
      </c>
      <c r="V48">
        <v>84</v>
      </c>
      <c r="W48">
        <v>61</v>
      </c>
      <c r="X48">
        <v>21</v>
      </c>
      <c r="Y48">
        <v>74</v>
      </c>
      <c r="Z48">
        <v>39</v>
      </c>
      <c r="AA48">
        <v>75</v>
      </c>
      <c r="AB48">
        <v>13</v>
      </c>
      <c r="AC48">
        <v>32</v>
      </c>
      <c r="AD48">
        <v>20</v>
      </c>
      <c r="AE48">
        <v>16</v>
      </c>
      <c r="AF48">
        <v>68</v>
      </c>
      <c r="AG48">
        <v>25</v>
      </c>
      <c r="AH48">
        <v>67</v>
      </c>
      <c r="AI48">
        <v>28</v>
      </c>
      <c r="AJ48">
        <v>14</v>
      </c>
      <c r="AK48">
        <v>14</v>
      </c>
      <c r="AL48">
        <v>90</v>
      </c>
      <c r="AM48">
        <v>81</v>
      </c>
      <c r="AN48">
        <v>75</v>
      </c>
      <c r="AO48">
        <v>82</v>
      </c>
      <c r="AP48">
        <v>90</v>
      </c>
    </row>
    <row r="49" spans="1:42" x14ac:dyDescent="0.25">
      <c r="A49">
        <v>47</v>
      </c>
      <c r="B49" t="s">
        <v>141</v>
      </c>
      <c r="C49">
        <v>25</v>
      </c>
      <c r="D49" t="s">
        <v>56</v>
      </c>
      <c r="E49" t="s">
        <v>53</v>
      </c>
      <c r="F49">
        <v>62500000</v>
      </c>
      <c r="G49">
        <v>230000</v>
      </c>
      <c r="H49" t="s">
        <v>46</v>
      </c>
      <c r="I49">
        <v>78</v>
      </c>
      <c r="J49">
        <v>87</v>
      </c>
      <c r="K49">
        <v>86</v>
      </c>
      <c r="L49">
        <v>77</v>
      </c>
      <c r="M49">
        <v>79</v>
      </c>
      <c r="N49">
        <v>80</v>
      </c>
      <c r="O49">
        <v>74</v>
      </c>
      <c r="P49">
        <v>66</v>
      </c>
      <c r="Q49">
        <v>73</v>
      </c>
      <c r="R49">
        <v>72</v>
      </c>
      <c r="S49">
        <v>77</v>
      </c>
      <c r="T49">
        <v>90</v>
      </c>
      <c r="U49">
        <v>60</v>
      </c>
      <c r="V49">
        <v>86</v>
      </c>
      <c r="W49">
        <v>46</v>
      </c>
      <c r="X49">
        <v>88</v>
      </c>
      <c r="Y49">
        <v>71</v>
      </c>
      <c r="Z49">
        <v>84</v>
      </c>
      <c r="AA49">
        <v>94</v>
      </c>
      <c r="AB49">
        <v>74</v>
      </c>
      <c r="AC49">
        <v>75</v>
      </c>
      <c r="AD49">
        <v>27</v>
      </c>
      <c r="AE49">
        <v>89</v>
      </c>
      <c r="AF49">
        <v>76</v>
      </c>
      <c r="AG49">
        <v>78</v>
      </c>
      <c r="AH49">
        <v>83</v>
      </c>
      <c r="AI49">
        <v>30</v>
      </c>
      <c r="AJ49">
        <v>30</v>
      </c>
      <c r="AK49">
        <v>30</v>
      </c>
      <c r="AL49">
        <v>8</v>
      </c>
      <c r="AM49">
        <v>15</v>
      </c>
      <c r="AN49">
        <v>14</v>
      </c>
      <c r="AO49">
        <v>7</v>
      </c>
      <c r="AP49">
        <v>10</v>
      </c>
    </row>
    <row r="50" spans="1:42" x14ac:dyDescent="0.25">
      <c r="A50">
        <v>48</v>
      </c>
      <c r="B50" t="s">
        <v>142</v>
      </c>
      <c r="C50">
        <v>28</v>
      </c>
      <c r="D50" t="s">
        <v>100</v>
      </c>
      <c r="E50" t="s">
        <v>143</v>
      </c>
      <c r="F50">
        <v>52000000</v>
      </c>
      <c r="G50">
        <v>115000</v>
      </c>
      <c r="H50" t="s">
        <v>46</v>
      </c>
      <c r="I50">
        <v>55</v>
      </c>
      <c r="J50">
        <v>90</v>
      </c>
      <c r="K50">
        <v>81</v>
      </c>
      <c r="L50">
        <v>74</v>
      </c>
      <c r="M50">
        <v>87</v>
      </c>
      <c r="N50">
        <v>83</v>
      </c>
      <c r="O50">
        <v>70</v>
      </c>
      <c r="P50">
        <v>51</v>
      </c>
      <c r="Q50">
        <v>49</v>
      </c>
      <c r="R50">
        <v>83</v>
      </c>
      <c r="S50">
        <v>78</v>
      </c>
      <c r="T50">
        <v>85</v>
      </c>
      <c r="U50">
        <v>77</v>
      </c>
      <c r="V50">
        <v>87</v>
      </c>
      <c r="W50">
        <v>63</v>
      </c>
      <c r="X50">
        <v>86</v>
      </c>
      <c r="Y50">
        <v>77</v>
      </c>
      <c r="Z50">
        <v>80</v>
      </c>
      <c r="AA50">
        <v>76</v>
      </c>
      <c r="AB50">
        <v>80</v>
      </c>
      <c r="AC50">
        <v>77</v>
      </c>
      <c r="AD50">
        <v>40</v>
      </c>
      <c r="AE50">
        <v>91</v>
      </c>
      <c r="AF50">
        <v>65</v>
      </c>
      <c r="AG50">
        <v>78</v>
      </c>
      <c r="AH50">
        <v>81</v>
      </c>
      <c r="AI50">
        <v>34</v>
      </c>
      <c r="AJ50">
        <v>33</v>
      </c>
      <c r="AK50">
        <v>32</v>
      </c>
      <c r="AL50">
        <v>6</v>
      </c>
      <c r="AM50">
        <v>8</v>
      </c>
      <c r="AN50">
        <v>15</v>
      </c>
      <c r="AO50">
        <v>12</v>
      </c>
      <c r="AP50">
        <v>6</v>
      </c>
    </row>
    <row r="51" spans="1:42" x14ac:dyDescent="0.25">
      <c r="A51">
        <v>49</v>
      </c>
      <c r="B51" t="s">
        <v>144</v>
      </c>
      <c r="C51">
        <v>29</v>
      </c>
      <c r="D51" t="s">
        <v>52</v>
      </c>
      <c r="E51" t="s">
        <v>41</v>
      </c>
      <c r="F51">
        <v>38000000</v>
      </c>
      <c r="G51">
        <v>250000</v>
      </c>
      <c r="H51" t="s">
        <v>123</v>
      </c>
      <c r="I51">
        <v>87</v>
      </c>
      <c r="J51">
        <v>73</v>
      </c>
      <c r="K51">
        <v>70</v>
      </c>
      <c r="L51">
        <v>84</v>
      </c>
      <c r="M51">
        <v>60</v>
      </c>
      <c r="N51">
        <v>80</v>
      </c>
      <c r="O51">
        <v>80</v>
      </c>
      <c r="P51">
        <v>63</v>
      </c>
      <c r="Q51">
        <v>74</v>
      </c>
      <c r="R51">
        <v>84</v>
      </c>
      <c r="S51">
        <v>93</v>
      </c>
      <c r="T51">
        <v>93</v>
      </c>
      <c r="U51">
        <v>90</v>
      </c>
      <c r="V51">
        <v>83</v>
      </c>
      <c r="W51">
        <v>85</v>
      </c>
      <c r="X51">
        <v>64</v>
      </c>
      <c r="Y51">
        <v>81</v>
      </c>
      <c r="Z51">
        <v>91</v>
      </c>
      <c r="AA51">
        <v>61</v>
      </c>
      <c r="AB51">
        <v>66</v>
      </c>
      <c r="AC51">
        <v>75</v>
      </c>
      <c r="AD51">
        <v>84</v>
      </c>
      <c r="AE51">
        <v>79</v>
      </c>
      <c r="AF51">
        <v>70</v>
      </c>
      <c r="AG51">
        <v>59</v>
      </c>
      <c r="AH51">
        <v>79</v>
      </c>
      <c r="AI51">
        <v>72</v>
      </c>
      <c r="AJ51">
        <v>84</v>
      </c>
      <c r="AK51">
        <v>85</v>
      </c>
      <c r="AL51">
        <v>13</v>
      </c>
      <c r="AM51">
        <v>15</v>
      </c>
      <c r="AN51">
        <v>13</v>
      </c>
      <c r="AO51">
        <v>6</v>
      </c>
      <c r="AP51">
        <v>13</v>
      </c>
    </row>
    <row r="52" spans="1:42" x14ac:dyDescent="0.25">
      <c r="A52">
        <v>50</v>
      </c>
      <c r="B52" t="s">
        <v>145</v>
      </c>
      <c r="C52">
        <v>31</v>
      </c>
      <c r="D52" t="s">
        <v>56</v>
      </c>
      <c r="E52" t="s">
        <v>112</v>
      </c>
      <c r="F52">
        <v>45000000</v>
      </c>
      <c r="G52">
        <v>135000</v>
      </c>
      <c r="H52" t="s">
        <v>42</v>
      </c>
      <c r="I52">
        <v>77</v>
      </c>
      <c r="J52">
        <v>86</v>
      </c>
      <c r="K52">
        <v>35</v>
      </c>
      <c r="L52">
        <v>82</v>
      </c>
      <c r="M52">
        <v>70</v>
      </c>
      <c r="N52">
        <v>91</v>
      </c>
      <c r="O52">
        <v>82</v>
      </c>
      <c r="P52">
        <v>79</v>
      </c>
      <c r="Q52">
        <v>74</v>
      </c>
      <c r="R52">
        <v>89</v>
      </c>
      <c r="S52">
        <v>93</v>
      </c>
      <c r="T52">
        <v>85</v>
      </c>
      <c r="U52">
        <v>94</v>
      </c>
      <c r="V52">
        <v>88</v>
      </c>
      <c r="W52">
        <v>92</v>
      </c>
      <c r="X52">
        <v>80</v>
      </c>
      <c r="Y52">
        <v>60</v>
      </c>
      <c r="Z52">
        <v>75</v>
      </c>
      <c r="AA52">
        <v>42</v>
      </c>
      <c r="AB52">
        <v>81</v>
      </c>
      <c r="AC52">
        <v>59</v>
      </c>
      <c r="AD52">
        <v>36</v>
      </c>
      <c r="AE52">
        <v>87</v>
      </c>
      <c r="AF52">
        <v>83</v>
      </c>
      <c r="AG52">
        <v>79</v>
      </c>
      <c r="AH52">
        <v>81</v>
      </c>
      <c r="AI52">
        <v>25</v>
      </c>
      <c r="AJ52">
        <v>40</v>
      </c>
      <c r="AK52">
        <v>40</v>
      </c>
      <c r="AL52">
        <v>7</v>
      </c>
      <c r="AM52">
        <v>10</v>
      </c>
      <c r="AN52">
        <v>8</v>
      </c>
      <c r="AO52">
        <v>10</v>
      </c>
      <c r="AP52">
        <v>4</v>
      </c>
    </row>
    <row r="53" spans="1:42" x14ac:dyDescent="0.25">
      <c r="A53">
        <v>51</v>
      </c>
      <c r="B53" t="s">
        <v>146</v>
      </c>
      <c r="C53">
        <v>31</v>
      </c>
      <c r="D53" t="s">
        <v>56</v>
      </c>
      <c r="E53" t="s">
        <v>88</v>
      </c>
      <c r="F53">
        <v>34000000</v>
      </c>
      <c r="G53">
        <v>155000</v>
      </c>
      <c r="H53" t="s">
        <v>101</v>
      </c>
      <c r="I53">
        <v>68</v>
      </c>
      <c r="J53">
        <v>56</v>
      </c>
      <c r="K53">
        <v>80</v>
      </c>
      <c r="L53">
        <v>79</v>
      </c>
      <c r="M53">
        <v>52</v>
      </c>
      <c r="N53">
        <v>71</v>
      </c>
      <c r="O53">
        <v>58</v>
      </c>
      <c r="P53">
        <v>73</v>
      </c>
      <c r="Q53">
        <v>74</v>
      </c>
      <c r="R53">
        <v>76</v>
      </c>
      <c r="S53">
        <v>61</v>
      </c>
      <c r="T53">
        <v>65</v>
      </c>
      <c r="U53">
        <v>61</v>
      </c>
      <c r="V53">
        <v>84</v>
      </c>
      <c r="W53">
        <v>60</v>
      </c>
      <c r="X53">
        <v>80</v>
      </c>
      <c r="Y53">
        <v>85</v>
      </c>
      <c r="Z53">
        <v>75</v>
      </c>
      <c r="AA53">
        <v>79</v>
      </c>
      <c r="AB53">
        <v>66</v>
      </c>
      <c r="AC53">
        <v>84</v>
      </c>
      <c r="AD53">
        <v>89</v>
      </c>
      <c r="AE53">
        <v>60</v>
      </c>
      <c r="AF53">
        <v>68</v>
      </c>
      <c r="AG53">
        <v>66</v>
      </c>
      <c r="AH53">
        <v>83</v>
      </c>
      <c r="AI53">
        <v>90</v>
      </c>
      <c r="AJ53">
        <v>87</v>
      </c>
      <c r="AK53">
        <v>88</v>
      </c>
      <c r="AL53">
        <v>6</v>
      </c>
      <c r="AM53">
        <v>10</v>
      </c>
      <c r="AN53">
        <v>9</v>
      </c>
      <c r="AO53">
        <v>12</v>
      </c>
      <c r="AP53">
        <v>7</v>
      </c>
    </row>
    <row r="54" spans="1:42" x14ac:dyDescent="0.25">
      <c r="A54">
        <v>52</v>
      </c>
      <c r="B54" t="s">
        <v>147</v>
      </c>
      <c r="C54">
        <v>30</v>
      </c>
      <c r="D54" t="s">
        <v>148</v>
      </c>
      <c r="E54" t="s">
        <v>112</v>
      </c>
      <c r="F54">
        <v>46500000</v>
      </c>
      <c r="G54">
        <v>125000</v>
      </c>
      <c r="H54" t="s">
        <v>78</v>
      </c>
      <c r="I54">
        <v>78</v>
      </c>
      <c r="J54">
        <v>79</v>
      </c>
      <c r="K54">
        <v>74</v>
      </c>
      <c r="L54">
        <v>88</v>
      </c>
      <c r="M54">
        <v>79</v>
      </c>
      <c r="N54">
        <v>86</v>
      </c>
      <c r="O54">
        <v>80</v>
      </c>
      <c r="P54">
        <v>72</v>
      </c>
      <c r="Q54">
        <v>83</v>
      </c>
      <c r="R54">
        <v>87</v>
      </c>
      <c r="S54">
        <v>69</v>
      </c>
      <c r="T54">
        <v>68</v>
      </c>
      <c r="U54">
        <v>76</v>
      </c>
      <c r="V54">
        <v>88</v>
      </c>
      <c r="W54">
        <v>66</v>
      </c>
      <c r="X54">
        <v>82</v>
      </c>
      <c r="Y54">
        <v>71</v>
      </c>
      <c r="Z54">
        <v>84</v>
      </c>
      <c r="AA54">
        <v>67</v>
      </c>
      <c r="AB54">
        <v>83</v>
      </c>
      <c r="AC54">
        <v>56</v>
      </c>
      <c r="AD54">
        <v>72</v>
      </c>
      <c r="AE54">
        <v>88</v>
      </c>
      <c r="AF54">
        <v>86</v>
      </c>
      <c r="AG54">
        <v>70</v>
      </c>
      <c r="AH54">
        <v>84</v>
      </c>
      <c r="AI54">
        <v>75</v>
      </c>
      <c r="AJ54">
        <v>73</v>
      </c>
      <c r="AK54">
        <v>62</v>
      </c>
      <c r="AL54">
        <v>8</v>
      </c>
      <c r="AM54">
        <v>6</v>
      </c>
      <c r="AN54">
        <v>4</v>
      </c>
      <c r="AO54">
        <v>14</v>
      </c>
      <c r="AP54">
        <v>14</v>
      </c>
    </row>
    <row r="55" spans="1:42" x14ac:dyDescent="0.25">
      <c r="A55">
        <v>53</v>
      </c>
      <c r="B55" t="s">
        <v>149</v>
      </c>
      <c r="C55">
        <v>30</v>
      </c>
      <c r="D55" t="s">
        <v>63</v>
      </c>
      <c r="E55" t="s">
        <v>41</v>
      </c>
      <c r="F55">
        <v>46500000</v>
      </c>
      <c r="G55">
        <v>260000</v>
      </c>
      <c r="H55" t="s">
        <v>58</v>
      </c>
      <c r="I55">
        <v>84</v>
      </c>
      <c r="J55">
        <v>83</v>
      </c>
      <c r="K55">
        <v>58</v>
      </c>
      <c r="L55">
        <v>87</v>
      </c>
      <c r="M55">
        <v>80</v>
      </c>
      <c r="N55">
        <v>84</v>
      </c>
      <c r="O55">
        <v>88</v>
      </c>
      <c r="P55">
        <v>84</v>
      </c>
      <c r="Q55">
        <v>90</v>
      </c>
      <c r="R55">
        <v>87</v>
      </c>
      <c r="S55">
        <v>66</v>
      </c>
      <c r="T55">
        <v>59</v>
      </c>
      <c r="U55">
        <v>72</v>
      </c>
      <c r="V55">
        <v>77</v>
      </c>
      <c r="W55">
        <v>66</v>
      </c>
      <c r="X55">
        <v>84</v>
      </c>
      <c r="Y55">
        <v>39</v>
      </c>
      <c r="Z55">
        <v>84</v>
      </c>
      <c r="AA55">
        <v>66</v>
      </c>
      <c r="AB55">
        <v>90</v>
      </c>
      <c r="AC55">
        <v>67</v>
      </c>
      <c r="AD55">
        <v>75</v>
      </c>
      <c r="AE55">
        <v>79</v>
      </c>
      <c r="AF55">
        <v>86</v>
      </c>
      <c r="AG55">
        <v>82</v>
      </c>
      <c r="AH55">
        <v>81</v>
      </c>
      <c r="AI55">
        <v>72</v>
      </c>
      <c r="AJ55">
        <v>74</v>
      </c>
      <c r="AK55">
        <v>70</v>
      </c>
      <c r="AL55">
        <v>14</v>
      </c>
      <c r="AM55">
        <v>11</v>
      </c>
      <c r="AN55">
        <v>12</v>
      </c>
      <c r="AO55">
        <v>5</v>
      </c>
      <c r="AP55">
        <v>9</v>
      </c>
    </row>
    <row r="56" spans="1:42" x14ac:dyDescent="0.25">
      <c r="A56">
        <v>54</v>
      </c>
      <c r="B56" t="s">
        <v>150</v>
      </c>
      <c r="C56">
        <v>31</v>
      </c>
      <c r="D56" t="s">
        <v>52</v>
      </c>
      <c r="E56" t="s">
        <v>41</v>
      </c>
      <c r="F56">
        <v>34000000</v>
      </c>
      <c r="G56">
        <v>240000</v>
      </c>
      <c r="H56" t="s">
        <v>69</v>
      </c>
      <c r="I56">
        <v>57</v>
      </c>
      <c r="J56">
        <v>64</v>
      </c>
      <c r="K56">
        <v>83</v>
      </c>
      <c r="L56">
        <v>81</v>
      </c>
      <c r="M56">
        <v>57</v>
      </c>
      <c r="N56">
        <v>59</v>
      </c>
      <c r="O56">
        <v>58</v>
      </c>
      <c r="P56">
        <v>43</v>
      </c>
      <c r="Q56">
        <v>80</v>
      </c>
      <c r="R56">
        <v>78</v>
      </c>
      <c r="S56">
        <v>49</v>
      </c>
      <c r="T56">
        <v>60</v>
      </c>
      <c r="U56">
        <v>58</v>
      </c>
      <c r="V56">
        <v>84</v>
      </c>
      <c r="W56">
        <v>36</v>
      </c>
      <c r="X56">
        <v>62</v>
      </c>
      <c r="Y56">
        <v>74</v>
      </c>
      <c r="Z56">
        <v>65</v>
      </c>
      <c r="AA56">
        <v>83</v>
      </c>
      <c r="AB56">
        <v>51</v>
      </c>
      <c r="AC56">
        <v>72</v>
      </c>
      <c r="AD56">
        <v>88</v>
      </c>
      <c r="AE56">
        <v>58</v>
      </c>
      <c r="AF56">
        <v>62</v>
      </c>
      <c r="AG56">
        <v>69</v>
      </c>
      <c r="AH56">
        <v>86</v>
      </c>
      <c r="AI56">
        <v>91</v>
      </c>
      <c r="AJ56">
        <v>86</v>
      </c>
      <c r="AK56">
        <v>84</v>
      </c>
      <c r="AL56">
        <v>10</v>
      </c>
      <c r="AM56">
        <v>11</v>
      </c>
      <c r="AN56">
        <v>14</v>
      </c>
      <c r="AO56">
        <v>15</v>
      </c>
      <c r="AP56">
        <v>8</v>
      </c>
    </row>
    <row r="57" spans="1:42" x14ac:dyDescent="0.25">
      <c r="A57">
        <v>55</v>
      </c>
      <c r="B57" t="s">
        <v>151</v>
      </c>
      <c r="C57">
        <v>22</v>
      </c>
      <c r="D57" t="s">
        <v>77</v>
      </c>
      <c r="E57" t="s">
        <v>57</v>
      </c>
      <c r="F57">
        <v>61000000</v>
      </c>
      <c r="G57">
        <v>195000</v>
      </c>
      <c r="H57" t="s">
        <v>50</v>
      </c>
      <c r="I57">
        <v>83</v>
      </c>
      <c r="J57">
        <v>81</v>
      </c>
      <c r="K57">
        <v>72</v>
      </c>
      <c r="L57">
        <v>79</v>
      </c>
      <c r="M57">
        <v>85</v>
      </c>
      <c r="N57">
        <v>88</v>
      </c>
      <c r="O57">
        <v>82</v>
      </c>
      <c r="P57">
        <v>68</v>
      </c>
      <c r="Q57">
        <v>64</v>
      </c>
      <c r="R57">
        <v>85</v>
      </c>
      <c r="S57">
        <v>93</v>
      </c>
      <c r="T57">
        <v>96</v>
      </c>
      <c r="U57">
        <v>88</v>
      </c>
      <c r="V57">
        <v>81</v>
      </c>
      <c r="W57">
        <v>81</v>
      </c>
      <c r="X57">
        <v>86</v>
      </c>
      <c r="Y57">
        <v>64</v>
      </c>
      <c r="Z57">
        <v>79</v>
      </c>
      <c r="AA57">
        <v>70</v>
      </c>
      <c r="AB57">
        <v>78</v>
      </c>
      <c r="AC57">
        <v>61</v>
      </c>
      <c r="AD57">
        <v>34</v>
      </c>
      <c r="AE57">
        <v>84</v>
      </c>
      <c r="AF57">
        <v>82</v>
      </c>
      <c r="AG57">
        <v>71</v>
      </c>
      <c r="AH57">
        <v>78</v>
      </c>
      <c r="AI57">
        <v>36</v>
      </c>
      <c r="AJ57">
        <v>32</v>
      </c>
      <c r="AK57">
        <v>35</v>
      </c>
      <c r="AL57">
        <v>8</v>
      </c>
      <c r="AM57">
        <v>12</v>
      </c>
      <c r="AN57">
        <v>9</v>
      </c>
      <c r="AO57">
        <v>9</v>
      </c>
      <c r="AP57">
        <v>14</v>
      </c>
    </row>
    <row r="58" spans="1:42" x14ac:dyDescent="0.25">
      <c r="A58">
        <v>56</v>
      </c>
      <c r="B58" t="s">
        <v>152</v>
      </c>
      <c r="C58">
        <v>23</v>
      </c>
      <c r="D58" t="s">
        <v>44</v>
      </c>
      <c r="E58" t="s">
        <v>57</v>
      </c>
      <c r="F58">
        <v>59500000</v>
      </c>
      <c r="G58">
        <v>180000</v>
      </c>
      <c r="H58" t="s">
        <v>153</v>
      </c>
      <c r="I58">
        <v>85</v>
      </c>
      <c r="J58">
        <v>75</v>
      </c>
      <c r="K58">
        <v>51</v>
      </c>
      <c r="L58">
        <v>85</v>
      </c>
      <c r="M58">
        <v>69</v>
      </c>
      <c r="N58">
        <v>92</v>
      </c>
      <c r="O58">
        <v>83</v>
      </c>
      <c r="P58">
        <v>67</v>
      </c>
      <c r="Q58">
        <v>79</v>
      </c>
      <c r="R58">
        <v>91</v>
      </c>
      <c r="S58">
        <v>84</v>
      </c>
      <c r="T58">
        <v>74</v>
      </c>
      <c r="U58">
        <v>90</v>
      </c>
      <c r="V58">
        <v>82</v>
      </c>
      <c r="W58">
        <v>88</v>
      </c>
      <c r="X58">
        <v>70</v>
      </c>
      <c r="Y58">
        <v>50</v>
      </c>
      <c r="Z58">
        <v>78</v>
      </c>
      <c r="AA58">
        <v>48</v>
      </c>
      <c r="AB58">
        <v>72</v>
      </c>
      <c r="AC58">
        <v>58</v>
      </c>
      <c r="AD58">
        <v>49</v>
      </c>
      <c r="AE58">
        <v>83</v>
      </c>
      <c r="AF58">
        <v>86</v>
      </c>
      <c r="AG58">
        <v>68</v>
      </c>
      <c r="AH58">
        <v>85</v>
      </c>
      <c r="AI58">
        <v>49</v>
      </c>
      <c r="AJ58">
        <v>44</v>
      </c>
      <c r="AK58">
        <v>35</v>
      </c>
      <c r="AL58">
        <v>9</v>
      </c>
      <c r="AM58">
        <v>10</v>
      </c>
      <c r="AN58">
        <v>14</v>
      </c>
      <c r="AO58">
        <v>12</v>
      </c>
      <c r="AP58">
        <v>9</v>
      </c>
    </row>
    <row r="59" spans="1:42" x14ac:dyDescent="0.25">
      <c r="A59">
        <v>57</v>
      </c>
      <c r="B59" t="s">
        <v>154</v>
      </c>
      <c r="C59">
        <v>24</v>
      </c>
      <c r="D59" t="s">
        <v>48</v>
      </c>
      <c r="E59" t="s">
        <v>57</v>
      </c>
      <c r="F59">
        <v>41500000</v>
      </c>
      <c r="G59">
        <v>125000</v>
      </c>
      <c r="H59" t="s">
        <v>54</v>
      </c>
      <c r="I59">
        <v>20</v>
      </c>
      <c r="J59">
        <v>14</v>
      </c>
      <c r="K59">
        <v>14</v>
      </c>
      <c r="L59">
        <v>56</v>
      </c>
      <c r="M59">
        <v>18</v>
      </c>
      <c r="N59">
        <v>23</v>
      </c>
      <c r="O59">
        <v>15</v>
      </c>
      <c r="P59">
        <v>20</v>
      </c>
      <c r="Q59">
        <v>58</v>
      </c>
      <c r="R59">
        <v>37</v>
      </c>
      <c r="S59">
        <v>64</v>
      </c>
      <c r="T59">
        <v>63</v>
      </c>
      <c r="U59">
        <v>60</v>
      </c>
      <c r="V59">
        <v>86</v>
      </c>
      <c r="W59">
        <v>48</v>
      </c>
      <c r="X59">
        <v>42</v>
      </c>
      <c r="Y59">
        <v>58</v>
      </c>
      <c r="Z59">
        <v>41</v>
      </c>
      <c r="AA59">
        <v>68</v>
      </c>
      <c r="AB59">
        <v>18</v>
      </c>
      <c r="AC59">
        <v>35</v>
      </c>
      <c r="AD59">
        <v>25</v>
      </c>
      <c r="AE59">
        <v>20</v>
      </c>
      <c r="AF59">
        <v>67</v>
      </c>
      <c r="AG59">
        <v>17</v>
      </c>
      <c r="AH59">
        <v>70</v>
      </c>
      <c r="AI59">
        <v>28</v>
      </c>
      <c r="AJ59">
        <v>15</v>
      </c>
      <c r="AK59">
        <v>8</v>
      </c>
      <c r="AL59">
        <v>85</v>
      </c>
      <c r="AM59">
        <v>80</v>
      </c>
      <c r="AN59">
        <v>91</v>
      </c>
      <c r="AO59">
        <v>82</v>
      </c>
      <c r="AP59">
        <v>87</v>
      </c>
    </row>
    <row r="60" spans="1:42" x14ac:dyDescent="0.25">
      <c r="A60">
        <v>58</v>
      </c>
      <c r="B60" t="s">
        <v>155</v>
      </c>
      <c r="C60">
        <v>26</v>
      </c>
      <c r="D60" t="s">
        <v>136</v>
      </c>
      <c r="E60" t="s">
        <v>106</v>
      </c>
      <c r="F60">
        <v>52000000</v>
      </c>
      <c r="G60">
        <v>195000</v>
      </c>
      <c r="H60" t="s">
        <v>120</v>
      </c>
      <c r="I60">
        <v>73</v>
      </c>
      <c r="J60">
        <v>84</v>
      </c>
      <c r="K60">
        <v>62</v>
      </c>
      <c r="L60">
        <v>79</v>
      </c>
      <c r="M60">
        <v>71</v>
      </c>
      <c r="N60">
        <v>87</v>
      </c>
      <c r="O60">
        <v>74</v>
      </c>
      <c r="P60">
        <v>64</v>
      </c>
      <c r="Q60">
        <v>71</v>
      </c>
      <c r="R60">
        <v>86</v>
      </c>
      <c r="S60">
        <v>95</v>
      </c>
      <c r="T60">
        <v>93</v>
      </c>
      <c r="U60">
        <v>91</v>
      </c>
      <c r="V60">
        <v>86</v>
      </c>
      <c r="W60">
        <v>86</v>
      </c>
      <c r="X60">
        <v>82</v>
      </c>
      <c r="Y60">
        <v>75</v>
      </c>
      <c r="Z60">
        <v>84</v>
      </c>
      <c r="AA60">
        <v>67</v>
      </c>
      <c r="AB60">
        <v>74</v>
      </c>
      <c r="AC60">
        <v>73</v>
      </c>
      <c r="AD60">
        <v>35</v>
      </c>
      <c r="AE60">
        <v>87</v>
      </c>
      <c r="AF60">
        <v>82</v>
      </c>
      <c r="AG60">
        <v>71</v>
      </c>
      <c r="AH60">
        <v>80</v>
      </c>
      <c r="AI60">
        <v>42</v>
      </c>
      <c r="AJ60">
        <v>42</v>
      </c>
      <c r="AK60">
        <v>38</v>
      </c>
      <c r="AL60">
        <v>10</v>
      </c>
      <c r="AM60">
        <v>10</v>
      </c>
      <c r="AN60">
        <v>15</v>
      </c>
      <c r="AO60">
        <v>7</v>
      </c>
      <c r="AP60">
        <v>14</v>
      </c>
    </row>
    <row r="61" spans="1:42" x14ac:dyDescent="0.25">
      <c r="A61">
        <v>59</v>
      </c>
      <c r="B61" t="s">
        <v>156</v>
      </c>
      <c r="C61">
        <v>26</v>
      </c>
      <c r="D61" t="s">
        <v>157</v>
      </c>
      <c r="E61" t="s">
        <v>106</v>
      </c>
      <c r="F61">
        <v>44500000</v>
      </c>
      <c r="G61">
        <v>165000</v>
      </c>
      <c r="H61" t="s">
        <v>101</v>
      </c>
      <c r="I61">
        <v>53</v>
      </c>
      <c r="J61">
        <v>52</v>
      </c>
      <c r="K61">
        <v>82</v>
      </c>
      <c r="L61">
        <v>76</v>
      </c>
      <c r="M61">
        <v>45</v>
      </c>
      <c r="N61">
        <v>70</v>
      </c>
      <c r="O61">
        <v>60</v>
      </c>
      <c r="P61">
        <v>70</v>
      </c>
      <c r="Q61">
        <v>78</v>
      </c>
      <c r="R61">
        <v>73</v>
      </c>
      <c r="S61">
        <v>74</v>
      </c>
      <c r="T61">
        <v>77</v>
      </c>
      <c r="U61">
        <v>61</v>
      </c>
      <c r="V61">
        <v>85</v>
      </c>
      <c r="W61">
        <v>49</v>
      </c>
      <c r="X61">
        <v>81</v>
      </c>
      <c r="Y61">
        <v>85</v>
      </c>
      <c r="Z61">
        <v>71</v>
      </c>
      <c r="AA61">
        <v>92</v>
      </c>
      <c r="AB61">
        <v>64</v>
      </c>
      <c r="AC61">
        <v>81</v>
      </c>
      <c r="AD61">
        <v>86</v>
      </c>
      <c r="AE61">
        <v>41</v>
      </c>
      <c r="AF61">
        <v>59</v>
      </c>
      <c r="AG61">
        <v>62</v>
      </c>
      <c r="AH61">
        <v>83</v>
      </c>
      <c r="AI61">
        <v>88</v>
      </c>
      <c r="AJ61">
        <v>89</v>
      </c>
      <c r="AK61">
        <v>84</v>
      </c>
      <c r="AL61">
        <v>13</v>
      </c>
      <c r="AM61">
        <v>10</v>
      </c>
      <c r="AN61">
        <v>13</v>
      </c>
      <c r="AO61">
        <v>11</v>
      </c>
      <c r="AP61">
        <v>11</v>
      </c>
    </row>
    <row r="62" spans="1:42" x14ac:dyDescent="0.25">
      <c r="A62">
        <v>60</v>
      </c>
      <c r="B62" t="s">
        <v>158</v>
      </c>
      <c r="C62">
        <v>23</v>
      </c>
      <c r="D62" t="s">
        <v>87</v>
      </c>
      <c r="E62" t="s">
        <v>57</v>
      </c>
      <c r="F62">
        <v>56500000</v>
      </c>
      <c r="G62">
        <v>195000</v>
      </c>
      <c r="H62" t="s">
        <v>153</v>
      </c>
      <c r="I62">
        <v>77</v>
      </c>
      <c r="J62">
        <v>77</v>
      </c>
      <c r="K62">
        <v>38</v>
      </c>
      <c r="L62">
        <v>84</v>
      </c>
      <c r="M62">
        <v>67</v>
      </c>
      <c r="N62">
        <v>88</v>
      </c>
      <c r="O62">
        <v>70</v>
      </c>
      <c r="P62">
        <v>63</v>
      </c>
      <c r="Q62">
        <v>69</v>
      </c>
      <c r="R62">
        <v>87</v>
      </c>
      <c r="S62">
        <v>95</v>
      </c>
      <c r="T62">
        <v>92</v>
      </c>
      <c r="U62">
        <v>93</v>
      </c>
      <c r="V62">
        <v>87</v>
      </c>
      <c r="W62">
        <v>93</v>
      </c>
      <c r="X62">
        <v>73</v>
      </c>
      <c r="Y62">
        <v>57</v>
      </c>
      <c r="Z62">
        <v>78</v>
      </c>
      <c r="AA62">
        <v>52</v>
      </c>
      <c r="AB62">
        <v>73</v>
      </c>
      <c r="AC62">
        <v>38</v>
      </c>
      <c r="AD62">
        <v>30</v>
      </c>
      <c r="AE62">
        <v>87</v>
      </c>
      <c r="AF62">
        <v>77</v>
      </c>
      <c r="AG62">
        <v>69</v>
      </c>
      <c r="AH62">
        <v>77</v>
      </c>
      <c r="AI62">
        <v>47</v>
      </c>
      <c r="AJ62">
        <v>58</v>
      </c>
      <c r="AK62">
        <v>54</v>
      </c>
      <c r="AL62">
        <v>15</v>
      </c>
      <c r="AM62">
        <v>12</v>
      </c>
      <c r="AN62">
        <v>12</v>
      </c>
      <c r="AO62">
        <v>15</v>
      </c>
      <c r="AP62">
        <v>9</v>
      </c>
    </row>
    <row r="63" spans="1:42" x14ac:dyDescent="0.25">
      <c r="A63">
        <v>61</v>
      </c>
      <c r="B63" t="s">
        <v>159</v>
      </c>
      <c r="C63">
        <v>26</v>
      </c>
      <c r="D63" t="s">
        <v>48</v>
      </c>
      <c r="E63" t="s">
        <v>106</v>
      </c>
      <c r="F63">
        <v>53000000</v>
      </c>
      <c r="G63">
        <v>195000</v>
      </c>
      <c r="H63" t="s">
        <v>90</v>
      </c>
      <c r="I63">
        <v>72</v>
      </c>
      <c r="J63">
        <v>87</v>
      </c>
      <c r="K63">
        <v>77</v>
      </c>
      <c r="L63">
        <v>86</v>
      </c>
      <c r="M63">
        <v>81</v>
      </c>
      <c r="N63">
        <v>87</v>
      </c>
      <c r="O63">
        <v>80</v>
      </c>
      <c r="P63">
        <v>65</v>
      </c>
      <c r="Q63">
        <v>75</v>
      </c>
      <c r="R63">
        <v>88</v>
      </c>
      <c r="S63">
        <v>78</v>
      </c>
      <c r="T63">
        <v>77</v>
      </c>
      <c r="U63">
        <v>80</v>
      </c>
      <c r="V63">
        <v>86</v>
      </c>
      <c r="W63">
        <v>81</v>
      </c>
      <c r="X63">
        <v>81</v>
      </c>
      <c r="Y63">
        <v>81</v>
      </c>
      <c r="Z63">
        <v>90</v>
      </c>
      <c r="AA63">
        <v>74</v>
      </c>
      <c r="AB63">
        <v>76</v>
      </c>
      <c r="AC63">
        <v>73</v>
      </c>
      <c r="AD63">
        <v>58</v>
      </c>
      <c r="AE63">
        <v>87</v>
      </c>
      <c r="AF63">
        <v>85</v>
      </c>
      <c r="AG63">
        <v>72</v>
      </c>
      <c r="AH63">
        <v>87</v>
      </c>
      <c r="AI63">
        <v>60</v>
      </c>
      <c r="AJ63">
        <v>64</v>
      </c>
      <c r="AK63">
        <v>42</v>
      </c>
      <c r="AL63">
        <v>8</v>
      </c>
      <c r="AM63">
        <v>11</v>
      </c>
      <c r="AN63">
        <v>9</v>
      </c>
      <c r="AO63">
        <v>6</v>
      </c>
      <c r="AP63">
        <v>10</v>
      </c>
    </row>
    <row r="64" spans="1:42" x14ac:dyDescent="0.25">
      <c r="A64">
        <v>62</v>
      </c>
      <c r="B64" t="s">
        <v>160</v>
      </c>
      <c r="C64">
        <v>25</v>
      </c>
      <c r="D64" t="s">
        <v>83</v>
      </c>
      <c r="E64" t="s">
        <v>64</v>
      </c>
      <c r="F64">
        <v>50000000</v>
      </c>
      <c r="G64">
        <v>210000</v>
      </c>
      <c r="H64" t="s">
        <v>69</v>
      </c>
      <c r="I64">
        <v>36</v>
      </c>
      <c r="J64">
        <v>40</v>
      </c>
      <c r="K64">
        <v>83</v>
      </c>
      <c r="L64">
        <v>75</v>
      </c>
      <c r="M64">
        <v>42</v>
      </c>
      <c r="N64">
        <v>57</v>
      </c>
      <c r="O64">
        <v>46</v>
      </c>
      <c r="P64">
        <v>54</v>
      </c>
      <c r="Q64">
        <v>76</v>
      </c>
      <c r="R64">
        <v>77</v>
      </c>
      <c r="S64">
        <v>83</v>
      </c>
      <c r="T64">
        <v>85</v>
      </c>
      <c r="U64">
        <v>63</v>
      </c>
      <c r="V64">
        <v>83</v>
      </c>
      <c r="W64">
        <v>40</v>
      </c>
      <c r="X64">
        <v>52</v>
      </c>
      <c r="Y64">
        <v>79</v>
      </c>
      <c r="Z64">
        <v>73</v>
      </c>
      <c r="AA64">
        <v>84</v>
      </c>
      <c r="AB64">
        <v>53</v>
      </c>
      <c r="AC64">
        <v>77</v>
      </c>
      <c r="AD64">
        <v>82</v>
      </c>
      <c r="AE64">
        <v>44</v>
      </c>
      <c r="AF64">
        <v>56</v>
      </c>
      <c r="AG64">
        <v>43</v>
      </c>
      <c r="AH64">
        <v>82</v>
      </c>
      <c r="AI64">
        <v>87</v>
      </c>
      <c r="AJ64">
        <v>88</v>
      </c>
      <c r="AK64">
        <v>87</v>
      </c>
      <c r="AL64">
        <v>11</v>
      </c>
      <c r="AM64">
        <v>11</v>
      </c>
      <c r="AN64">
        <v>9</v>
      </c>
      <c r="AO64">
        <v>5</v>
      </c>
      <c r="AP64">
        <v>14</v>
      </c>
    </row>
    <row r="65" spans="1:42" x14ac:dyDescent="0.25">
      <c r="A65">
        <v>63</v>
      </c>
      <c r="B65" t="s">
        <v>161</v>
      </c>
      <c r="C65">
        <v>25</v>
      </c>
      <c r="D65" t="s">
        <v>100</v>
      </c>
      <c r="E65" t="s">
        <v>49</v>
      </c>
      <c r="F65">
        <v>55000000</v>
      </c>
      <c r="G65">
        <v>135000</v>
      </c>
      <c r="H65" t="s">
        <v>78</v>
      </c>
      <c r="I65">
        <v>72</v>
      </c>
      <c r="J65">
        <v>60</v>
      </c>
      <c r="K65">
        <v>55</v>
      </c>
      <c r="L65">
        <v>90</v>
      </c>
      <c r="M65">
        <v>64</v>
      </c>
      <c r="N65">
        <v>90</v>
      </c>
      <c r="O65">
        <v>73</v>
      </c>
      <c r="P65">
        <v>64</v>
      </c>
      <c r="Q65">
        <v>89</v>
      </c>
      <c r="R65">
        <v>88</v>
      </c>
      <c r="S65">
        <v>69</v>
      </c>
      <c r="T65">
        <v>62</v>
      </c>
      <c r="U65">
        <v>87</v>
      </c>
      <c r="V65">
        <v>85</v>
      </c>
      <c r="W65">
        <v>94</v>
      </c>
      <c r="X65">
        <v>56</v>
      </c>
      <c r="Y65">
        <v>64</v>
      </c>
      <c r="Z65">
        <v>77</v>
      </c>
      <c r="AA65">
        <v>52</v>
      </c>
      <c r="AB65">
        <v>58</v>
      </c>
      <c r="AC65">
        <v>89</v>
      </c>
      <c r="AD65">
        <v>84</v>
      </c>
      <c r="AE65">
        <v>71</v>
      </c>
      <c r="AF65">
        <v>87</v>
      </c>
      <c r="AG65">
        <v>64</v>
      </c>
      <c r="AH65">
        <v>93</v>
      </c>
      <c r="AI65">
        <v>78</v>
      </c>
      <c r="AJ65">
        <v>83</v>
      </c>
      <c r="AK65">
        <v>80</v>
      </c>
      <c r="AL65">
        <v>12</v>
      </c>
      <c r="AM65">
        <v>12</v>
      </c>
      <c r="AN65">
        <v>15</v>
      </c>
      <c r="AO65">
        <v>15</v>
      </c>
      <c r="AP65">
        <v>10</v>
      </c>
    </row>
    <row r="66" spans="1:42" x14ac:dyDescent="0.25">
      <c r="A66">
        <v>64</v>
      </c>
      <c r="B66" t="s">
        <v>162</v>
      </c>
      <c r="C66">
        <v>27</v>
      </c>
      <c r="D66" t="s">
        <v>48</v>
      </c>
      <c r="E66" t="s">
        <v>45</v>
      </c>
      <c r="F66">
        <v>36500000</v>
      </c>
      <c r="G66">
        <v>160000</v>
      </c>
      <c r="H66" t="s">
        <v>123</v>
      </c>
      <c r="I66">
        <v>84</v>
      </c>
      <c r="J66">
        <v>55</v>
      </c>
      <c r="K66">
        <v>76</v>
      </c>
      <c r="L66">
        <v>81</v>
      </c>
      <c r="M66">
        <v>68</v>
      </c>
      <c r="N66">
        <v>80</v>
      </c>
      <c r="O66">
        <v>78</v>
      </c>
      <c r="P66">
        <v>59</v>
      </c>
      <c r="Q66">
        <v>71</v>
      </c>
      <c r="R66">
        <v>81</v>
      </c>
      <c r="S66">
        <v>83</v>
      </c>
      <c r="T66">
        <v>86</v>
      </c>
      <c r="U66">
        <v>79</v>
      </c>
      <c r="V66">
        <v>84</v>
      </c>
      <c r="W66">
        <v>78</v>
      </c>
      <c r="X66">
        <v>80</v>
      </c>
      <c r="Y66">
        <v>79</v>
      </c>
      <c r="Z66">
        <v>92</v>
      </c>
      <c r="AA66">
        <v>79</v>
      </c>
      <c r="AB66">
        <v>72</v>
      </c>
      <c r="AC66">
        <v>82</v>
      </c>
      <c r="AD66">
        <v>82</v>
      </c>
      <c r="AE66">
        <v>70</v>
      </c>
      <c r="AF66">
        <v>70</v>
      </c>
      <c r="AG66">
        <v>60</v>
      </c>
      <c r="AH66">
        <v>82</v>
      </c>
      <c r="AI66">
        <v>81</v>
      </c>
      <c r="AJ66">
        <v>84</v>
      </c>
      <c r="AK66">
        <v>84</v>
      </c>
      <c r="AL66">
        <v>7</v>
      </c>
      <c r="AM66">
        <v>7</v>
      </c>
      <c r="AN66">
        <v>9</v>
      </c>
      <c r="AO66">
        <v>12</v>
      </c>
      <c r="AP66">
        <v>5</v>
      </c>
    </row>
    <row r="67" spans="1:42" x14ac:dyDescent="0.25">
      <c r="A67">
        <v>65</v>
      </c>
      <c r="B67" t="s">
        <v>163</v>
      </c>
      <c r="C67">
        <v>27</v>
      </c>
      <c r="D67" t="s">
        <v>48</v>
      </c>
      <c r="E67" t="s">
        <v>45</v>
      </c>
      <c r="F67">
        <v>46500000</v>
      </c>
      <c r="G67">
        <v>175000</v>
      </c>
      <c r="H67" t="s">
        <v>120</v>
      </c>
      <c r="I67">
        <v>84</v>
      </c>
      <c r="J67">
        <v>67</v>
      </c>
      <c r="K67">
        <v>50</v>
      </c>
      <c r="L67">
        <v>84</v>
      </c>
      <c r="M67">
        <v>76</v>
      </c>
      <c r="N67">
        <v>92</v>
      </c>
      <c r="O67">
        <v>84</v>
      </c>
      <c r="P67">
        <v>78</v>
      </c>
      <c r="Q67">
        <v>68</v>
      </c>
      <c r="R67">
        <v>91</v>
      </c>
      <c r="S67">
        <v>97</v>
      </c>
      <c r="T67">
        <v>93</v>
      </c>
      <c r="U67">
        <v>93</v>
      </c>
      <c r="V67">
        <v>84</v>
      </c>
      <c r="W67">
        <v>91</v>
      </c>
      <c r="X67">
        <v>86</v>
      </c>
      <c r="Y67">
        <v>61</v>
      </c>
      <c r="Z67">
        <v>78</v>
      </c>
      <c r="AA67">
        <v>63</v>
      </c>
      <c r="AB67">
        <v>80</v>
      </c>
      <c r="AC67">
        <v>55</v>
      </c>
      <c r="AD67">
        <v>48</v>
      </c>
      <c r="AE67">
        <v>76</v>
      </c>
      <c r="AF67">
        <v>84</v>
      </c>
      <c r="AG67">
        <v>77</v>
      </c>
      <c r="AH67">
        <v>84</v>
      </c>
      <c r="AI67">
        <v>45</v>
      </c>
      <c r="AJ67">
        <v>38</v>
      </c>
      <c r="AK67">
        <v>34</v>
      </c>
      <c r="AL67">
        <v>13</v>
      </c>
      <c r="AM67">
        <v>15</v>
      </c>
      <c r="AN67">
        <v>9</v>
      </c>
      <c r="AO67">
        <v>12</v>
      </c>
      <c r="AP67">
        <v>5</v>
      </c>
    </row>
    <row r="68" spans="1:42" x14ac:dyDescent="0.25">
      <c r="A68">
        <v>66</v>
      </c>
      <c r="B68" t="s">
        <v>164</v>
      </c>
      <c r="C68">
        <v>28</v>
      </c>
      <c r="D68" t="s">
        <v>77</v>
      </c>
      <c r="E68" t="s">
        <v>75</v>
      </c>
      <c r="F68">
        <v>45000000</v>
      </c>
      <c r="G68">
        <v>135000</v>
      </c>
      <c r="H68" t="s">
        <v>90</v>
      </c>
      <c r="I68">
        <v>79</v>
      </c>
      <c r="J68">
        <v>87</v>
      </c>
      <c r="K68">
        <v>82</v>
      </c>
      <c r="L68">
        <v>83</v>
      </c>
      <c r="M68">
        <v>84</v>
      </c>
      <c r="N68">
        <v>75</v>
      </c>
      <c r="O68">
        <v>81</v>
      </c>
      <c r="P68">
        <v>59</v>
      </c>
      <c r="Q68">
        <v>72</v>
      </c>
      <c r="R68">
        <v>82</v>
      </c>
      <c r="S68">
        <v>73</v>
      </c>
      <c r="T68">
        <v>75</v>
      </c>
      <c r="U68">
        <v>75</v>
      </c>
      <c r="V68">
        <v>91</v>
      </c>
      <c r="W68">
        <v>72</v>
      </c>
      <c r="X68">
        <v>78</v>
      </c>
      <c r="Y68">
        <v>81</v>
      </c>
      <c r="Z68">
        <v>87</v>
      </c>
      <c r="AA68">
        <v>68</v>
      </c>
      <c r="AB68">
        <v>80</v>
      </c>
      <c r="AC68">
        <v>57</v>
      </c>
      <c r="AD68">
        <v>58</v>
      </c>
      <c r="AE68">
        <v>92</v>
      </c>
      <c r="AF68">
        <v>85</v>
      </c>
      <c r="AG68">
        <v>60</v>
      </c>
      <c r="AH68">
        <v>83</v>
      </c>
      <c r="AI68">
        <v>44</v>
      </c>
      <c r="AJ68">
        <v>41</v>
      </c>
      <c r="AK68">
        <v>44</v>
      </c>
      <c r="AL68">
        <v>6</v>
      </c>
      <c r="AM68">
        <v>7</v>
      </c>
      <c r="AN68">
        <v>11</v>
      </c>
      <c r="AO68">
        <v>14</v>
      </c>
      <c r="AP68">
        <v>14</v>
      </c>
    </row>
    <row r="69" spans="1:42" x14ac:dyDescent="0.25">
      <c r="A69">
        <v>67</v>
      </c>
      <c r="B69" t="s">
        <v>165</v>
      </c>
      <c r="C69">
        <v>27</v>
      </c>
      <c r="D69" t="s">
        <v>52</v>
      </c>
      <c r="E69" t="s">
        <v>75</v>
      </c>
      <c r="F69">
        <v>45500000</v>
      </c>
      <c r="G69">
        <v>130000</v>
      </c>
      <c r="H69" t="s">
        <v>166</v>
      </c>
      <c r="I69">
        <v>72</v>
      </c>
      <c r="J69">
        <v>69</v>
      </c>
      <c r="K69">
        <v>54</v>
      </c>
      <c r="L69">
        <v>90</v>
      </c>
      <c r="M69">
        <v>90</v>
      </c>
      <c r="N69">
        <v>90</v>
      </c>
      <c r="O69">
        <v>85</v>
      </c>
      <c r="P69">
        <v>77</v>
      </c>
      <c r="Q69">
        <v>87</v>
      </c>
      <c r="R69">
        <v>90</v>
      </c>
      <c r="S69">
        <v>78</v>
      </c>
      <c r="T69">
        <v>69</v>
      </c>
      <c r="U69">
        <v>90</v>
      </c>
      <c r="V69">
        <v>84</v>
      </c>
      <c r="W69">
        <v>86</v>
      </c>
      <c r="X69">
        <v>75</v>
      </c>
      <c r="Y69">
        <v>75</v>
      </c>
      <c r="Z69">
        <v>75</v>
      </c>
      <c r="AA69">
        <v>59</v>
      </c>
      <c r="AB69">
        <v>79</v>
      </c>
      <c r="AC69">
        <v>57</v>
      </c>
      <c r="AD69">
        <v>78</v>
      </c>
      <c r="AE69">
        <v>79</v>
      </c>
      <c r="AF69">
        <v>86</v>
      </c>
      <c r="AG69">
        <v>75</v>
      </c>
      <c r="AH69">
        <v>85</v>
      </c>
      <c r="AI69">
        <v>67</v>
      </c>
      <c r="AJ69">
        <v>63</v>
      </c>
      <c r="AK69">
        <v>65</v>
      </c>
      <c r="AL69">
        <v>6</v>
      </c>
      <c r="AM69">
        <v>11</v>
      </c>
      <c r="AN69">
        <v>7</v>
      </c>
      <c r="AO69">
        <v>9</v>
      </c>
      <c r="AP69">
        <v>13</v>
      </c>
    </row>
    <row r="70" spans="1:42" x14ac:dyDescent="0.25">
      <c r="A70">
        <v>68</v>
      </c>
      <c r="B70" t="s">
        <v>167</v>
      </c>
      <c r="C70">
        <v>29</v>
      </c>
      <c r="D70" t="s">
        <v>77</v>
      </c>
      <c r="E70" t="s">
        <v>168</v>
      </c>
      <c r="F70">
        <v>43500000</v>
      </c>
      <c r="G70">
        <v>100000</v>
      </c>
      <c r="H70" t="s">
        <v>120</v>
      </c>
      <c r="I70">
        <v>79</v>
      </c>
      <c r="J70">
        <v>87</v>
      </c>
      <c r="K70">
        <v>49</v>
      </c>
      <c r="L70">
        <v>86</v>
      </c>
      <c r="M70">
        <v>90</v>
      </c>
      <c r="N70">
        <v>87</v>
      </c>
      <c r="O70">
        <v>89</v>
      </c>
      <c r="P70">
        <v>84</v>
      </c>
      <c r="Q70">
        <v>75</v>
      </c>
      <c r="R70">
        <v>86</v>
      </c>
      <c r="S70">
        <v>86</v>
      </c>
      <c r="T70">
        <v>85</v>
      </c>
      <c r="U70">
        <v>86</v>
      </c>
      <c r="V70">
        <v>87</v>
      </c>
      <c r="W70">
        <v>81</v>
      </c>
      <c r="X70">
        <v>88</v>
      </c>
      <c r="Y70">
        <v>70</v>
      </c>
      <c r="Z70">
        <v>73</v>
      </c>
      <c r="AA70">
        <v>67</v>
      </c>
      <c r="AB70">
        <v>86</v>
      </c>
      <c r="AC70">
        <v>49</v>
      </c>
      <c r="AD70">
        <v>50</v>
      </c>
      <c r="AE70">
        <v>88</v>
      </c>
      <c r="AF70">
        <v>86</v>
      </c>
      <c r="AG70">
        <v>89</v>
      </c>
      <c r="AH70">
        <v>84</v>
      </c>
      <c r="AI70">
        <v>47</v>
      </c>
      <c r="AJ70">
        <v>36</v>
      </c>
      <c r="AK70">
        <v>45</v>
      </c>
      <c r="AL70">
        <v>12</v>
      </c>
      <c r="AM70">
        <v>12</v>
      </c>
      <c r="AN70">
        <v>13</v>
      </c>
      <c r="AO70">
        <v>13</v>
      </c>
      <c r="AP70">
        <v>11</v>
      </c>
    </row>
    <row r="71" spans="1:42" x14ac:dyDescent="0.25">
      <c r="A71">
        <v>69</v>
      </c>
      <c r="B71" t="s">
        <v>169</v>
      </c>
      <c r="C71">
        <v>28</v>
      </c>
      <c r="D71" t="s">
        <v>52</v>
      </c>
      <c r="E71" t="s">
        <v>60</v>
      </c>
      <c r="F71">
        <v>35000000</v>
      </c>
      <c r="G71">
        <v>175000</v>
      </c>
      <c r="H71" t="s">
        <v>170</v>
      </c>
      <c r="I71">
        <v>81</v>
      </c>
      <c r="J71">
        <v>46</v>
      </c>
      <c r="K71">
        <v>76</v>
      </c>
      <c r="L71">
        <v>81</v>
      </c>
      <c r="M71">
        <v>51</v>
      </c>
      <c r="N71">
        <v>69</v>
      </c>
      <c r="O71">
        <v>68</v>
      </c>
      <c r="P71">
        <v>58</v>
      </c>
      <c r="Q71">
        <v>80</v>
      </c>
      <c r="R71">
        <v>77</v>
      </c>
      <c r="S71">
        <v>76</v>
      </c>
      <c r="T71">
        <v>76</v>
      </c>
      <c r="U71">
        <v>72</v>
      </c>
      <c r="V71">
        <v>88</v>
      </c>
      <c r="W71">
        <v>73</v>
      </c>
      <c r="X71">
        <v>68</v>
      </c>
      <c r="Y71">
        <v>76</v>
      </c>
      <c r="Z71">
        <v>87</v>
      </c>
      <c r="AA71">
        <v>71</v>
      </c>
      <c r="AB71">
        <v>60</v>
      </c>
      <c r="AC71">
        <v>82</v>
      </c>
      <c r="AD71">
        <v>89</v>
      </c>
      <c r="AE71">
        <v>62</v>
      </c>
      <c r="AF71">
        <v>74</v>
      </c>
      <c r="AG71">
        <v>66</v>
      </c>
      <c r="AH71">
        <v>78</v>
      </c>
      <c r="AI71">
        <v>88</v>
      </c>
      <c r="AJ71">
        <v>90</v>
      </c>
      <c r="AK71">
        <v>86</v>
      </c>
      <c r="AL71">
        <v>13</v>
      </c>
      <c r="AM71">
        <v>9</v>
      </c>
      <c r="AN71">
        <v>10</v>
      </c>
      <c r="AO71">
        <v>6</v>
      </c>
      <c r="AP71">
        <v>5</v>
      </c>
    </row>
    <row r="72" spans="1:42" x14ac:dyDescent="0.25">
      <c r="A72">
        <v>70</v>
      </c>
      <c r="B72" t="s">
        <v>171</v>
      </c>
      <c r="C72">
        <v>31</v>
      </c>
      <c r="D72" t="s">
        <v>100</v>
      </c>
      <c r="E72" t="s">
        <v>45</v>
      </c>
      <c r="F72">
        <v>30000000</v>
      </c>
      <c r="G72">
        <v>160000</v>
      </c>
      <c r="H72" t="s">
        <v>69</v>
      </c>
      <c r="I72">
        <v>44</v>
      </c>
      <c r="J72">
        <v>48</v>
      </c>
      <c r="K72">
        <v>86</v>
      </c>
      <c r="L72">
        <v>77</v>
      </c>
      <c r="M72">
        <v>58</v>
      </c>
      <c r="N72">
        <v>69</v>
      </c>
      <c r="O72">
        <v>56</v>
      </c>
      <c r="P72">
        <v>61</v>
      </c>
      <c r="Q72">
        <v>85</v>
      </c>
      <c r="R72">
        <v>75</v>
      </c>
      <c r="S72">
        <v>57</v>
      </c>
      <c r="T72">
        <v>65</v>
      </c>
      <c r="U72">
        <v>60</v>
      </c>
      <c r="V72">
        <v>84</v>
      </c>
      <c r="W72">
        <v>52</v>
      </c>
      <c r="X72">
        <v>74</v>
      </c>
      <c r="Y72">
        <v>85</v>
      </c>
      <c r="Z72">
        <v>71</v>
      </c>
      <c r="AA72">
        <v>83</v>
      </c>
      <c r="AB72">
        <v>65</v>
      </c>
      <c r="AC72">
        <v>82</v>
      </c>
      <c r="AD72">
        <v>90</v>
      </c>
      <c r="AE72">
        <v>38</v>
      </c>
      <c r="AF72">
        <v>74</v>
      </c>
      <c r="AG72">
        <v>70</v>
      </c>
      <c r="AH72">
        <v>86</v>
      </c>
      <c r="AI72">
        <v>90</v>
      </c>
      <c r="AJ72">
        <v>86</v>
      </c>
      <c r="AK72">
        <v>80</v>
      </c>
      <c r="AL72">
        <v>2</v>
      </c>
      <c r="AM72">
        <v>2</v>
      </c>
      <c r="AN72">
        <v>3</v>
      </c>
      <c r="AO72">
        <v>2</v>
      </c>
      <c r="AP72">
        <v>4</v>
      </c>
    </row>
    <row r="73" spans="1:42" x14ac:dyDescent="0.25">
      <c r="A73">
        <v>71</v>
      </c>
      <c r="B73" t="s">
        <v>172</v>
      </c>
      <c r="C73">
        <v>29</v>
      </c>
      <c r="D73" t="s">
        <v>56</v>
      </c>
      <c r="E73" t="s">
        <v>88</v>
      </c>
      <c r="F73">
        <v>39000000</v>
      </c>
      <c r="G73">
        <v>150000</v>
      </c>
      <c r="H73" t="s">
        <v>69</v>
      </c>
      <c r="I73">
        <v>64</v>
      </c>
      <c r="J73">
        <v>45</v>
      </c>
      <c r="K73">
        <v>82</v>
      </c>
      <c r="L73">
        <v>79</v>
      </c>
      <c r="M73">
        <v>38</v>
      </c>
      <c r="N73">
        <v>62</v>
      </c>
      <c r="O73">
        <v>63</v>
      </c>
      <c r="P73">
        <v>69</v>
      </c>
      <c r="Q73">
        <v>85</v>
      </c>
      <c r="R73">
        <v>74</v>
      </c>
      <c r="S73">
        <v>61</v>
      </c>
      <c r="T73">
        <v>66</v>
      </c>
      <c r="U73">
        <v>60</v>
      </c>
      <c r="V73">
        <v>86</v>
      </c>
      <c r="W73">
        <v>50</v>
      </c>
      <c r="X73">
        <v>78</v>
      </c>
      <c r="Y73">
        <v>84</v>
      </c>
      <c r="Z73">
        <v>74</v>
      </c>
      <c r="AA73">
        <v>79</v>
      </c>
      <c r="AB73">
        <v>65</v>
      </c>
      <c r="AC73">
        <v>80</v>
      </c>
      <c r="AD73">
        <v>87</v>
      </c>
      <c r="AE73">
        <v>58</v>
      </c>
      <c r="AF73">
        <v>67</v>
      </c>
      <c r="AG73">
        <v>58</v>
      </c>
      <c r="AH73">
        <v>81</v>
      </c>
      <c r="AI73">
        <v>90</v>
      </c>
      <c r="AJ73">
        <v>91</v>
      </c>
      <c r="AK73">
        <v>86</v>
      </c>
      <c r="AL73">
        <v>16</v>
      </c>
      <c r="AM73">
        <v>6</v>
      </c>
      <c r="AN73">
        <v>14</v>
      </c>
      <c r="AO73">
        <v>16</v>
      </c>
      <c r="AP73">
        <v>14</v>
      </c>
    </row>
    <row r="74" spans="1:42" x14ac:dyDescent="0.25">
      <c r="A74">
        <v>72</v>
      </c>
      <c r="B74" t="s">
        <v>173</v>
      </c>
      <c r="C74">
        <v>28</v>
      </c>
      <c r="D74" t="s">
        <v>174</v>
      </c>
      <c r="E74" t="s">
        <v>45</v>
      </c>
      <c r="F74">
        <v>44000000</v>
      </c>
      <c r="G74">
        <v>180000</v>
      </c>
      <c r="H74" t="s">
        <v>94</v>
      </c>
      <c r="I74">
        <v>80</v>
      </c>
      <c r="J74">
        <v>60</v>
      </c>
      <c r="K74">
        <v>60</v>
      </c>
      <c r="L74">
        <v>89</v>
      </c>
      <c r="M74">
        <v>72</v>
      </c>
      <c r="N74">
        <v>86</v>
      </c>
      <c r="O74">
        <v>86</v>
      </c>
      <c r="P74">
        <v>92</v>
      </c>
      <c r="Q74">
        <v>85</v>
      </c>
      <c r="R74">
        <v>89</v>
      </c>
      <c r="S74">
        <v>66</v>
      </c>
      <c r="T74">
        <v>66</v>
      </c>
      <c r="U74">
        <v>77</v>
      </c>
      <c r="V74">
        <v>84</v>
      </c>
      <c r="W74">
        <v>79</v>
      </c>
      <c r="X74">
        <v>78</v>
      </c>
      <c r="Y74">
        <v>61</v>
      </c>
      <c r="Z74">
        <v>78</v>
      </c>
      <c r="AA74">
        <v>66</v>
      </c>
      <c r="AB74">
        <v>82</v>
      </c>
      <c r="AC74">
        <v>70</v>
      </c>
      <c r="AD74">
        <v>78</v>
      </c>
      <c r="AE74">
        <v>70</v>
      </c>
      <c r="AF74">
        <v>88</v>
      </c>
      <c r="AG74">
        <v>79</v>
      </c>
      <c r="AH74">
        <v>86</v>
      </c>
      <c r="AI74">
        <v>75</v>
      </c>
      <c r="AJ74">
        <v>74</v>
      </c>
      <c r="AK74">
        <v>70</v>
      </c>
      <c r="AL74">
        <v>7</v>
      </c>
      <c r="AM74">
        <v>7</v>
      </c>
      <c r="AN74">
        <v>13</v>
      </c>
      <c r="AO74">
        <v>7</v>
      </c>
      <c r="AP74">
        <v>8</v>
      </c>
    </row>
    <row r="75" spans="1:42" x14ac:dyDescent="0.25">
      <c r="A75">
        <v>73</v>
      </c>
      <c r="B75" t="s">
        <v>175</v>
      </c>
      <c r="C75">
        <v>31</v>
      </c>
      <c r="D75" t="s">
        <v>176</v>
      </c>
      <c r="E75" t="s">
        <v>45</v>
      </c>
      <c r="F75">
        <v>30000000</v>
      </c>
      <c r="G75">
        <v>160000</v>
      </c>
      <c r="H75" t="s">
        <v>80</v>
      </c>
      <c r="I75">
        <v>45</v>
      </c>
      <c r="J75">
        <v>47</v>
      </c>
      <c r="K75">
        <v>83</v>
      </c>
      <c r="L75">
        <v>65</v>
      </c>
      <c r="M75">
        <v>44</v>
      </c>
      <c r="N75">
        <v>64</v>
      </c>
      <c r="O75">
        <v>34</v>
      </c>
      <c r="P75">
        <v>27</v>
      </c>
      <c r="Q75">
        <v>65</v>
      </c>
      <c r="R75">
        <v>64</v>
      </c>
      <c r="S75">
        <v>65</v>
      </c>
      <c r="T75">
        <v>75</v>
      </c>
      <c r="U75">
        <v>59</v>
      </c>
      <c r="V75">
        <v>82</v>
      </c>
      <c r="W75">
        <v>53</v>
      </c>
      <c r="X75">
        <v>66</v>
      </c>
      <c r="Y75">
        <v>85</v>
      </c>
      <c r="Z75">
        <v>69</v>
      </c>
      <c r="AA75">
        <v>91</v>
      </c>
      <c r="AB75">
        <v>24</v>
      </c>
      <c r="AC75">
        <v>86</v>
      </c>
      <c r="AD75">
        <v>86</v>
      </c>
      <c r="AE75">
        <v>38</v>
      </c>
      <c r="AF75">
        <v>47</v>
      </c>
      <c r="AG75">
        <v>41</v>
      </c>
      <c r="AH75">
        <v>82</v>
      </c>
      <c r="AI75">
        <v>89</v>
      </c>
      <c r="AJ75">
        <v>87</v>
      </c>
      <c r="AK75">
        <v>85</v>
      </c>
      <c r="AL75">
        <v>7</v>
      </c>
      <c r="AM75">
        <v>4</v>
      </c>
      <c r="AN75">
        <v>8</v>
      </c>
      <c r="AO75">
        <v>7</v>
      </c>
      <c r="AP75">
        <v>11</v>
      </c>
    </row>
    <row r="76" spans="1:42" x14ac:dyDescent="0.25">
      <c r="A76">
        <v>74</v>
      </c>
      <c r="B76" t="s">
        <v>177</v>
      </c>
      <c r="C76">
        <v>29</v>
      </c>
      <c r="D76" t="s">
        <v>77</v>
      </c>
      <c r="E76" t="s">
        <v>119</v>
      </c>
      <c r="F76">
        <v>43500000</v>
      </c>
      <c r="G76">
        <v>190000</v>
      </c>
      <c r="H76" t="s">
        <v>90</v>
      </c>
      <c r="I76">
        <v>83</v>
      </c>
      <c r="J76">
        <v>73</v>
      </c>
      <c r="K76">
        <v>54</v>
      </c>
      <c r="L76">
        <v>89</v>
      </c>
      <c r="M76">
        <v>80</v>
      </c>
      <c r="N76">
        <v>84</v>
      </c>
      <c r="O76">
        <v>84</v>
      </c>
      <c r="P76">
        <v>77</v>
      </c>
      <c r="Q76">
        <v>82</v>
      </c>
      <c r="R76">
        <v>90</v>
      </c>
      <c r="S76">
        <v>72</v>
      </c>
      <c r="T76">
        <v>69</v>
      </c>
      <c r="U76">
        <v>79</v>
      </c>
      <c r="V76">
        <v>84</v>
      </c>
      <c r="W76">
        <v>70</v>
      </c>
      <c r="X76">
        <v>70</v>
      </c>
      <c r="Y76">
        <v>48</v>
      </c>
      <c r="Z76">
        <v>69</v>
      </c>
      <c r="AA76">
        <v>57</v>
      </c>
      <c r="AB76">
        <v>75</v>
      </c>
      <c r="AC76">
        <v>48</v>
      </c>
      <c r="AD76">
        <v>24</v>
      </c>
      <c r="AE76">
        <v>83</v>
      </c>
      <c r="AF76">
        <v>91</v>
      </c>
      <c r="AG76">
        <v>67</v>
      </c>
      <c r="AH76">
        <v>82</v>
      </c>
      <c r="AI76">
        <v>24</v>
      </c>
      <c r="AJ76">
        <v>16</v>
      </c>
      <c r="AK76">
        <v>19</v>
      </c>
      <c r="AL76">
        <v>6</v>
      </c>
      <c r="AM76">
        <v>14</v>
      </c>
      <c r="AN76">
        <v>10</v>
      </c>
      <c r="AO76">
        <v>6</v>
      </c>
      <c r="AP76">
        <v>14</v>
      </c>
    </row>
    <row r="77" spans="1:42" x14ac:dyDescent="0.25">
      <c r="A77">
        <v>75</v>
      </c>
      <c r="B77" t="s">
        <v>178</v>
      </c>
      <c r="C77">
        <v>33</v>
      </c>
      <c r="D77" t="s">
        <v>48</v>
      </c>
      <c r="E77" t="s">
        <v>57</v>
      </c>
      <c r="F77">
        <v>18000000</v>
      </c>
      <c r="G77">
        <v>185000</v>
      </c>
      <c r="H77" t="s">
        <v>94</v>
      </c>
      <c r="I77">
        <v>68</v>
      </c>
      <c r="J77">
        <v>69</v>
      </c>
      <c r="K77">
        <v>63</v>
      </c>
      <c r="L77">
        <v>85</v>
      </c>
      <c r="M77">
        <v>74</v>
      </c>
      <c r="N77">
        <v>77</v>
      </c>
      <c r="O77">
        <v>70</v>
      </c>
      <c r="P77">
        <v>72</v>
      </c>
      <c r="Q77">
        <v>81</v>
      </c>
      <c r="R77">
        <v>82</v>
      </c>
      <c r="S77">
        <v>68</v>
      </c>
      <c r="T77">
        <v>67</v>
      </c>
      <c r="U77">
        <v>72</v>
      </c>
      <c r="V77">
        <v>86</v>
      </c>
      <c r="W77">
        <v>78</v>
      </c>
      <c r="X77">
        <v>83</v>
      </c>
      <c r="Y77">
        <v>76</v>
      </c>
      <c r="Z77">
        <v>79</v>
      </c>
      <c r="AA77">
        <v>76</v>
      </c>
      <c r="AB77">
        <v>78</v>
      </c>
      <c r="AC77">
        <v>87</v>
      </c>
      <c r="AD77">
        <v>88</v>
      </c>
      <c r="AE77">
        <v>70</v>
      </c>
      <c r="AF77">
        <v>75</v>
      </c>
      <c r="AG77">
        <v>61</v>
      </c>
      <c r="AH77">
        <v>79</v>
      </c>
      <c r="AI77">
        <v>85</v>
      </c>
      <c r="AJ77">
        <v>85</v>
      </c>
      <c r="AK77">
        <v>80</v>
      </c>
      <c r="AL77">
        <v>12</v>
      </c>
      <c r="AM77">
        <v>11</v>
      </c>
      <c r="AN77">
        <v>5</v>
      </c>
      <c r="AO77">
        <v>13</v>
      </c>
      <c r="AP77">
        <v>7</v>
      </c>
    </row>
    <row r="78" spans="1:42" x14ac:dyDescent="0.25">
      <c r="A78">
        <v>76</v>
      </c>
      <c r="B78" t="s">
        <v>179</v>
      </c>
      <c r="C78">
        <v>34</v>
      </c>
      <c r="D78" t="s">
        <v>52</v>
      </c>
      <c r="E78" t="s">
        <v>180</v>
      </c>
      <c r="F78">
        <v>21500000</v>
      </c>
      <c r="G78">
        <v>21000</v>
      </c>
      <c r="H78" t="s">
        <v>61</v>
      </c>
      <c r="I78">
        <v>77</v>
      </c>
      <c r="J78">
        <v>70</v>
      </c>
      <c r="K78">
        <v>54</v>
      </c>
      <c r="L78">
        <v>90</v>
      </c>
      <c r="M78">
        <v>74</v>
      </c>
      <c r="N78">
        <v>90</v>
      </c>
      <c r="O78">
        <v>80</v>
      </c>
      <c r="P78">
        <v>70</v>
      </c>
      <c r="Q78">
        <v>85</v>
      </c>
      <c r="R78">
        <v>92</v>
      </c>
      <c r="S78">
        <v>70</v>
      </c>
      <c r="T78">
        <v>67</v>
      </c>
      <c r="U78">
        <v>79</v>
      </c>
      <c r="V78">
        <v>86</v>
      </c>
      <c r="W78">
        <v>84</v>
      </c>
      <c r="X78">
        <v>65</v>
      </c>
      <c r="Y78">
        <v>47</v>
      </c>
      <c r="Z78">
        <v>55</v>
      </c>
      <c r="AA78">
        <v>58</v>
      </c>
      <c r="AB78">
        <v>71</v>
      </c>
      <c r="AC78">
        <v>58</v>
      </c>
      <c r="AD78">
        <v>66</v>
      </c>
      <c r="AE78">
        <v>81</v>
      </c>
      <c r="AF78">
        <v>93</v>
      </c>
      <c r="AG78">
        <v>71</v>
      </c>
      <c r="AH78">
        <v>89</v>
      </c>
      <c r="AI78">
        <v>67</v>
      </c>
      <c r="AJ78">
        <v>57</v>
      </c>
      <c r="AK78">
        <v>56</v>
      </c>
      <c r="AL78">
        <v>6</v>
      </c>
      <c r="AM78">
        <v>13</v>
      </c>
      <c r="AN78">
        <v>6</v>
      </c>
      <c r="AO78">
        <v>13</v>
      </c>
      <c r="AP78">
        <v>7</v>
      </c>
    </row>
    <row r="79" spans="1:42" x14ac:dyDescent="0.25">
      <c r="A79">
        <v>77</v>
      </c>
      <c r="B79" t="s">
        <v>181</v>
      </c>
      <c r="C79">
        <v>23</v>
      </c>
      <c r="D79" t="s">
        <v>148</v>
      </c>
      <c r="E79" t="s">
        <v>131</v>
      </c>
      <c r="F79">
        <v>46500000</v>
      </c>
      <c r="G79">
        <v>82000</v>
      </c>
      <c r="H79" t="s">
        <v>101</v>
      </c>
      <c r="I79">
        <v>40</v>
      </c>
      <c r="J79">
        <v>42</v>
      </c>
      <c r="K79">
        <v>80</v>
      </c>
      <c r="L79">
        <v>70</v>
      </c>
      <c r="M79">
        <v>40</v>
      </c>
      <c r="N79">
        <v>59</v>
      </c>
      <c r="O79">
        <v>34</v>
      </c>
      <c r="P79">
        <v>30</v>
      </c>
      <c r="Q79">
        <v>68</v>
      </c>
      <c r="R79">
        <v>67</v>
      </c>
      <c r="S79">
        <v>70</v>
      </c>
      <c r="T79">
        <v>73</v>
      </c>
      <c r="U79">
        <v>48</v>
      </c>
      <c r="V79">
        <v>81</v>
      </c>
      <c r="W79">
        <v>48</v>
      </c>
      <c r="X79">
        <v>50</v>
      </c>
      <c r="Y79">
        <v>78</v>
      </c>
      <c r="Z79">
        <v>77</v>
      </c>
      <c r="AA79">
        <v>83</v>
      </c>
      <c r="AB79">
        <v>30</v>
      </c>
      <c r="AC79">
        <v>86</v>
      </c>
      <c r="AD79">
        <v>86</v>
      </c>
      <c r="AE79">
        <v>30</v>
      </c>
      <c r="AF79">
        <v>57</v>
      </c>
      <c r="AG79">
        <v>56</v>
      </c>
      <c r="AH79">
        <v>80</v>
      </c>
      <c r="AI79">
        <v>92</v>
      </c>
      <c r="AJ79">
        <v>88</v>
      </c>
      <c r="AK79">
        <v>82</v>
      </c>
      <c r="AL79">
        <v>10</v>
      </c>
      <c r="AM79">
        <v>13</v>
      </c>
      <c r="AN79">
        <v>12</v>
      </c>
      <c r="AO79">
        <v>8</v>
      </c>
      <c r="AP79">
        <v>12</v>
      </c>
    </row>
    <row r="80" spans="1:42" x14ac:dyDescent="0.25">
      <c r="A80">
        <v>78</v>
      </c>
      <c r="B80" t="s">
        <v>182</v>
      </c>
      <c r="C80">
        <v>23</v>
      </c>
      <c r="D80" t="s">
        <v>183</v>
      </c>
      <c r="E80" t="s">
        <v>143</v>
      </c>
      <c r="F80">
        <v>50500000</v>
      </c>
      <c r="G80">
        <v>73000</v>
      </c>
      <c r="H80" t="s">
        <v>166</v>
      </c>
      <c r="I80">
        <v>64</v>
      </c>
      <c r="J80">
        <v>80</v>
      </c>
      <c r="K80">
        <v>86</v>
      </c>
      <c r="L80">
        <v>85</v>
      </c>
      <c r="M80">
        <v>74</v>
      </c>
      <c r="N80">
        <v>86</v>
      </c>
      <c r="O80">
        <v>78</v>
      </c>
      <c r="P80">
        <v>75</v>
      </c>
      <c r="Q80">
        <v>85</v>
      </c>
      <c r="R80">
        <v>87</v>
      </c>
      <c r="S80">
        <v>68</v>
      </c>
      <c r="T80">
        <v>70</v>
      </c>
      <c r="U80">
        <v>66</v>
      </c>
      <c r="V80">
        <v>80</v>
      </c>
      <c r="W80">
        <v>59</v>
      </c>
      <c r="X80">
        <v>83</v>
      </c>
      <c r="Y80">
        <v>85</v>
      </c>
      <c r="Z80">
        <v>85</v>
      </c>
      <c r="AA80">
        <v>88</v>
      </c>
      <c r="AB80">
        <v>80</v>
      </c>
      <c r="AC80">
        <v>73</v>
      </c>
      <c r="AD80">
        <v>78</v>
      </c>
      <c r="AE80">
        <v>79</v>
      </c>
      <c r="AF80">
        <v>85</v>
      </c>
      <c r="AG80">
        <v>56</v>
      </c>
      <c r="AH80">
        <v>82</v>
      </c>
      <c r="AI80">
        <v>75</v>
      </c>
      <c r="AJ80">
        <v>77</v>
      </c>
      <c r="AK80">
        <v>72</v>
      </c>
      <c r="AL80">
        <v>7</v>
      </c>
      <c r="AM80">
        <v>10</v>
      </c>
      <c r="AN80">
        <v>7</v>
      </c>
      <c r="AO80">
        <v>16</v>
      </c>
      <c r="AP80">
        <v>7</v>
      </c>
    </row>
    <row r="81" spans="1:42" x14ac:dyDescent="0.25">
      <c r="A81">
        <v>79</v>
      </c>
      <c r="B81" t="s">
        <v>184</v>
      </c>
      <c r="C81">
        <v>22</v>
      </c>
      <c r="D81" t="s">
        <v>52</v>
      </c>
      <c r="E81" t="s">
        <v>64</v>
      </c>
      <c r="F81">
        <v>54000000</v>
      </c>
      <c r="G81">
        <v>215000</v>
      </c>
      <c r="H81" t="s">
        <v>153</v>
      </c>
      <c r="I81">
        <v>82</v>
      </c>
      <c r="J81">
        <v>82</v>
      </c>
      <c r="K81">
        <v>50</v>
      </c>
      <c r="L81">
        <v>83</v>
      </c>
      <c r="M81">
        <v>79</v>
      </c>
      <c r="N81">
        <v>86</v>
      </c>
      <c r="O81">
        <v>83</v>
      </c>
      <c r="P81">
        <v>76</v>
      </c>
      <c r="Q81">
        <v>82</v>
      </c>
      <c r="R81">
        <v>85</v>
      </c>
      <c r="S81">
        <v>85</v>
      </c>
      <c r="T81">
        <v>82</v>
      </c>
      <c r="U81">
        <v>79</v>
      </c>
      <c r="V81">
        <v>82</v>
      </c>
      <c r="W81">
        <v>76</v>
      </c>
      <c r="X81">
        <v>86</v>
      </c>
      <c r="Y81">
        <v>58</v>
      </c>
      <c r="Z81">
        <v>76</v>
      </c>
      <c r="AA81">
        <v>61</v>
      </c>
      <c r="AB81">
        <v>88</v>
      </c>
      <c r="AC81">
        <v>45</v>
      </c>
      <c r="AD81">
        <v>45</v>
      </c>
      <c r="AE81">
        <v>82</v>
      </c>
      <c r="AF81">
        <v>84</v>
      </c>
      <c r="AG81">
        <v>62</v>
      </c>
      <c r="AH81">
        <v>83</v>
      </c>
      <c r="AI81">
        <v>40</v>
      </c>
      <c r="AJ81">
        <v>42</v>
      </c>
      <c r="AK81">
        <v>39</v>
      </c>
      <c r="AL81">
        <v>13</v>
      </c>
      <c r="AM81">
        <v>9</v>
      </c>
      <c r="AN81">
        <v>6</v>
      </c>
      <c r="AO81">
        <v>12</v>
      </c>
      <c r="AP81">
        <v>10</v>
      </c>
    </row>
    <row r="82" spans="1:42" x14ac:dyDescent="0.25">
      <c r="A82">
        <v>80</v>
      </c>
      <c r="B82" t="s">
        <v>185</v>
      </c>
      <c r="C82">
        <v>24</v>
      </c>
      <c r="D82" t="s">
        <v>83</v>
      </c>
      <c r="E82" t="s">
        <v>186</v>
      </c>
      <c r="F82">
        <v>50000000</v>
      </c>
      <c r="G82">
        <v>92000</v>
      </c>
      <c r="H82" t="s">
        <v>90</v>
      </c>
      <c r="I82">
        <v>83</v>
      </c>
      <c r="J82">
        <v>82</v>
      </c>
      <c r="K82">
        <v>49</v>
      </c>
      <c r="L82">
        <v>83</v>
      </c>
      <c r="M82">
        <v>77</v>
      </c>
      <c r="N82">
        <v>90</v>
      </c>
      <c r="O82">
        <v>81</v>
      </c>
      <c r="P82">
        <v>79</v>
      </c>
      <c r="Q82">
        <v>75</v>
      </c>
      <c r="R82">
        <v>89</v>
      </c>
      <c r="S82">
        <v>79</v>
      </c>
      <c r="T82">
        <v>79</v>
      </c>
      <c r="U82">
        <v>90</v>
      </c>
      <c r="V82">
        <v>80</v>
      </c>
      <c r="W82">
        <v>91</v>
      </c>
      <c r="X82">
        <v>84</v>
      </c>
      <c r="Y82">
        <v>69</v>
      </c>
      <c r="Z82">
        <v>80</v>
      </c>
      <c r="AA82">
        <v>82</v>
      </c>
      <c r="AB82">
        <v>82</v>
      </c>
      <c r="AC82">
        <v>73</v>
      </c>
      <c r="AD82">
        <v>28</v>
      </c>
      <c r="AE82">
        <v>81</v>
      </c>
      <c r="AF82">
        <v>81</v>
      </c>
      <c r="AG82">
        <v>81</v>
      </c>
      <c r="AH82">
        <v>89</v>
      </c>
      <c r="AI82">
        <v>31</v>
      </c>
      <c r="AJ82">
        <v>37</v>
      </c>
      <c r="AK82">
        <v>25</v>
      </c>
      <c r="AL82">
        <v>15</v>
      </c>
      <c r="AM82">
        <v>9</v>
      </c>
      <c r="AN82">
        <v>8</v>
      </c>
      <c r="AO82">
        <v>14</v>
      </c>
      <c r="AP82">
        <v>15</v>
      </c>
    </row>
    <row r="83" spans="1:42" x14ac:dyDescent="0.25">
      <c r="A83">
        <v>81</v>
      </c>
      <c r="B83" t="s">
        <v>187</v>
      </c>
      <c r="C83">
        <v>25</v>
      </c>
      <c r="D83" t="s">
        <v>48</v>
      </c>
      <c r="E83" t="s">
        <v>106</v>
      </c>
      <c r="F83">
        <v>36500000</v>
      </c>
      <c r="G83">
        <v>115000</v>
      </c>
      <c r="H83" t="s">
        <v>54</v>
      </c>
      <c r="I83">
        <v>17</v>
      </c>
      <c r="J83">
        <v>13</v>
      </c>
      <c r="K83">
        <v>19</v>
      </c>
      <c r="L83">
        <v>45</v>
      </c>
      <c r="M83">
        <v>20</v>
      </c>
      <c r="N83">
        <v>27</v>
      </c>
      <c r="O83">
        <v>19</v>
      </c>
      <c r="P83">
        <v>18</v>
      </c>
      <c r="Q83">
        <v>44</v>
      </c>
      <c r="R83">
        <v>30</v>
      </c>
      <c r="S83">
        <v>54</v>
      </c>
      <c r="T83">
        <v>45</v>
      </c>
      <c r="U83">
        <v>40</v>
      </c>
      <c r="V83">
        <v>84</v>
      </c>
      <c r="W83">
        <v>37</v>
      </c>
      <c r="X83">
        <v>21</v>
      </c>
      <c r="Y83">
        <v>52</v>
      </c>
      <c r="Z83">
        <v>32</v>
      </c>
      <c r="AA83">
        <v>78</v>
      </c>
      <c r="AB83">
        <v>14</v>
      </c>
      <c r="AC83">
        <v>27</v>
      </c>
      <c r="AD83">
        <v>11</v>
      </c>
      <c r="AE83">
        <v>13</v>
      </c>
      <c r="AF83">
        <v>66</v>
      </c>
      <c r="AG83">
        <v>23</v>
      </c>
      <c r="AH83">
        <v>65</v>
      </c>
      <c r="AI83">
        <v>15</v>
      </c>
      <c r="AJ83">
        <v>19</v>
      </c>
      <c r="AK83">
        <v>16</v>
      </c>
      <c r="AL83">
        <v>83</v>
      </c>
      <c r="AM83">
        <v>81</v>
      </c>
      <c r="AN83">
        <v>85</v>
      </c>
      <c r="AO83">
        <v>84</v>
      </c>
      <c r="AP83">
        <v>88</v>
      </c>
    </row>
    <row r="84" spans="1:42" x14ac:dyDescent="0.25">
      <c r="A84">
        <v>82</v>
      </c>
      <c r="B84" t="s">
        <v>188</v>
      </c>
      <c r="C84">
        <v>23</v>
      </c>
      <c r="D84" t="s">
        <v>77</v>
      </c>
      <c r="E84" t="s">
        <v>75</v>
      </c>
      <c r="F84">
        <v>40500000</v>
      </c>
      <c r="G84">
        <v>92000</v>
      </c>
      <c r="H84" t="s">
        <v>58</v>
      </c>
      <c r="I84">
        <v>90</v>
      </c>
      <c r="J84">
        <v>66</v>
      </c>
      <c r="K84">
        <v>74</v>
      </c>
      <c r="L84">
        <v>85</v>
      </c>
      <c r="M84">
        <v>61</v>
      </c>
      <c r="N84">
        <v>80</v>
      </c>
      <c r="O84">
        <v>81</v>
      </c>
      <c r="P84">
        <v>61</v>
      </c>
      <c r="Q84">
        <v>80</v>
      </c>
      <c r="R84">
        <v>85</v>
      </c>
      <c r="S84">
        <v>78</v>
      </c>
      <c r="T84">
        <v>68</v>
      </c>
      <c r="U84">
        <v>84</v>
      </c>
      <c r="V84">
        <v>85</v>
      </c>
      <c r="W84">
        <v>83</v>
      </c>
      <c r="X84">
        <v>75</v>
      </c>
      <c r="Y84">
        <v>79</v>
      </c>
      <c r="Z84">
        <v>85</v>
      </c>
      <c r="AA84">
        <v>65</v>
      </c>
      <c r="AB84">
        <v>69</v>
      </c>
      <c r="AC84">
        <v>74</v>
      </c>
      <c r="AD84">
        <v>79</v>
      </c>
      <c r="AE84">
        <v>80</v>
      </c>
      <c r="AF84">
        <v>79</v>
      </c>
      <c r="AG84">
        <v>44</v>
      </c>
      <c r="AH84">
        <v>82</v>
      </c>
      <c r="AI84">
        <v>75</v>
      </c>
      <c r="AJ84">
        <v>81</v>
      </c>
      <c r="AK84">
        <v>79</v>
      </c>
      <c r="AL84">
        <v>8</v>
      </c>
      <c r="AM84">
        <v>15</v>
      </c>
      <c r="AN84">
        <v>7</v>
      </c>
      <c r="AO84">
        <v>15</v>
      </c>
      <c r="AP84">
        <v>15</v>
      </c>
    </row>
    <row r="85" spans="1:42" x14ac:dyDescent="0.25">
      <c r="A85">
        <v>83</v>
      </c>
      <c r="B85" t="s">
        <v>189</v>
      </c>
      <c r="C85">
        <v>23</v>
      </c>
      <c r="D85" t="s">
        <v>52</v>
      </c>
      <c r="E85" t="s">
        <v>72</v>
      </c>
      <c r="F85">
        <v>50500000</v>
      </c>
      <c r="G85">
        <v>77000</v>
      </c>
      <c r="H85" t="s">
        <v>58</v>
      </c>
      <c r="I85">
        <v>69</v>
      </c>
      <c r="J85">
        <v>78</v>
      </c>
      <c r="K85">
        <v>83</v>
      </c>
      <c r="L85">
        <v>85</v>
      </c>
      <c r="M85">
        <v>76</v>
      </c>
      <c r="N85">
        <v>83</v>
      </c>
      <c r="O85">
        <v>72</v>
      </c>
      <c r="P85">
        <v>60</v>
      </c>
      <c r="Q85">
        <v>83</v>
      </c>
      <c r="R85">
        <v>85</v>
      </c>
      <c r="S85">
        <v>74</v>
      </c>
      <c r="T85">
        <v>73</v>
      </c>
      <c r="U85">
        <v>76</v>
      </c>
      <c r="V85">
        <v>82</v>
      </c>
      <c r="W85">
        <v>69</v>
      </c>
      <c r="X85">
        <v>78</v>
      </c>
      <c r="Y85">
        <v>79</v>
      </c>
      <c r="Z85">
        <v>86</v>
      </c>
      <c r="AA85">
        <v>77</v>
      </c>
      <c r="AB85">
        <v>79</v>
      </c>
      <c r="AC85">
        <v>69</v>
      </c>
      <c r="AD85">
        <v>78</v>
      </c>
      <c r="AE85">
        <v>82</v>
      </c>
      <c r="AF85">
        <v>82</v>
      </c>
      <c r="AG85">
        <v>55</v>
      </c>
      <c r="AH85">
        <v>83</v>
      </c>
      <c r="AI85">
        <v>77</v>
      </c>
      <c r="AJ85">
        <v>79</v>
      </c>
      <c r="AK85">
        <v>76</v>
      </c>
      <c r="AL85">
        <v>7</v>
      </c>
      <c r="AM85">
        <v>13</v>
      </c>
      <c r="AN85">
        <v>12</v>
      </c>
      <c r="AO85">
        <v>10</v>
      </c>
      <c r="AP85">
        <v>9</v>
      </c>
    </row>
    <row r="86" spans="1:42" x14ac:dyDescent="0.25">
      <c r="A86">
        <v>84</v>
      </c>
      <c r="B86" t="s">
        <v>190</v>
      </c>
      <c r="C86">
        <v>27</v>
      </c>
      <c r="D86" t="s">
        <v>191</v>
      </c>
      <c r="E86" t="s">
        <v>57</v>
      </c>
      <c r="F86">
        <v>40500000</v>
      </c>
      <c r="G86">
        <v>205000</v>
      </c>
      <c r="H86" t="s">
        <v>153</v>
      </c>
      <c r="I86">
        <v>81</v>
      </c>
      <c r="J86">
        <v>80</v>
      </c>
      <c r="K86">
        <v>48</v>
      </c>
      <c r="L86">
        <v>82</v>
      </c>
      <c r="M86">
        <v>72</v>
      </c>
      <c r="N86">
        <v>91</v>
      </c>
      <c r="O86">
        <v>84</v>
      </c>
      <c r="P86">
        <v>78</v>
      </c>
      <c r="Q86">
        <v>76</v>
      </c>
      <c r="R86">
        <v>90</v>
      </c>
      <c r="S86">
        <v>88</v>
      </c>
      <c r="T86">
        <v>83</v>
      </c>
      <c r="U86">
        <v>93</v>
      </c>
      <c r="V86">
        <v>77</v>
      </c>
      <c r="W86">
        <v>88</v>
      </c>
      <c r="X86">
        <v>79</v>
      </c>
      <c r="Y86">
        <v>61</v>
      </c>
      <c r="Z86">
        <v>76</v>
      </c>
      <c r="AA86">
        <v>54</v>
      </c>
      <c r="AB86">
        <v>81</v>
      </c>
      <c r="AC86">
        <v>48</v>
      </c>
      <c r="AD86">
        <v>39</v>
      </c>
      <c r="AE86">
        <v>80</v>
      </c>
      <c r="AF86">
        <v>81</v>
      </c>
      <c r="AG86">
        <v>73</v>
      </c>
      <c r="AH86">
        <v>86</v>
      </c>
      <c r="AI86">
        <v>45</v>
      </c>
      <c r="AJ86">
        <v>31</v>
      </c>
      <c r="AK86">
        <v>18</v>
      </c>
      <c r="AL86">
        <v>15</v>
      </c>
      <c r="AM86">
        <v>9</v>
      </c>
      <c r="AN86">
        <v>13</v>
      </c>
      <c r="AO86">
        <v>11</v>
      </c>
      <c r="AP86">
        <v>6</v>
      </c>
    </row>
    <row r="87" spans="1:42" x14ac:dyDescent="0.25">
      <c r="A87">
        <v>85</v>
      </c>
      <c r="B87" t="s">
        <v>192</v>
      </c>
      <c r="C87">
        <v>26</v>
      </c>
      <c r="D87" t="s">
        <v>193</v>
      </c>
      <c r="E87" t="s">
        <v>75</v>
      </c>
      <c r="F87">
        <v>38000000</v>
      </c>
      <c r="G87">
        <v>110000</v>
      </c>
      <c r="H87" t="s">
        <v>123</v>
      </c>
      <c r="I87">
        <v>81</v>
      </c>
      <c r="J87">
        <v>63</v>
      </c>
      <c r="K87">
        <v>75</v>
      </c>
      <c r="L87">
        <v>82</v>
      </c>
      <c r="M87">
        <v>68</v>
      </c>
      <c r="N87">
        <v>79</v>
      </c>
      <c r="O87">
        <v>78</v>
      </c>
      <c r="P87">
        <v>84</v>
      </c>
      <c r="Q87">
        <v>80</v>
      </c>
      <c r="R87">
        <v>83</v>
      </c>
      <c r="S87">
        <v>79</v>
      </c>
      <c r="T87">
        <v>86</v>
      </c>
      <c r="U87">
        <v>79</v>
      </c>
      <c r="V87">
        <v>84</v>
      </c>
      <c r="W87">
        <v>77</v>
      </c>
      <c r="X87">
        <v>83</v>
      </c>
      <c r="Y87">
        <v>82</v>
      </c>
      <c r="Z87">
        <v>87</v>
      </c>
      <c r="AA87">
        <v>71</v>
      </c>
      <c r="AB87">
        <v>82</v>
      </c>
      <c r="AC87">
        <v>69</v>
      </c>
      <c r="AD87">
        <v>84</v>
      </c>
      <c r="AE87">
        <v>76</v>
      </c>
      <c r="AF87">
        <v>77</v>
      </c>
      <c r="AG87">
        <v>80</v>
      </c>
      <c r="AH87">
        <v>79</v>
      </c>
      <c r="AI87">
        <v>80</v>
      </c>
      <c r="AJ87">
        <v>82</v>
      </c>
      <c r="AK87">
        <v>80</v>
      </c>
      <c r="AL87">
        <v>5</v>
      </c>
      <c r="AM87">
        <v>7</v>
      </c>
      <c r="AN87">
        <v>14</v>
      </c>
      <c r="AO87">
        <v>15</v>
      </c>
      <c r="AP87">
        <v>9</v>
      </c>
    </row>
    <row r="88" spans="1:42" x14ac:dyDescent="0.25">
      <c r="A88">
        <v>86</v>
      </c>
      <c r="B88" t="s">
        <v>194</v>
      </c>
      <c r="C88">
        <v>26</v>
      </c>
      <c r="D88" t="s">
        <v>52</v>
      </c>
      <c r="E88" t="s">
        <v>72</v>
      </c>
      <c r="F88">
        <v>45000000</v>
      </c>
      <c r="G88">
        <v>88000</v>
      </c>
      <c r="H88" t="s">
        <v>120</v>
      </c>
      <c r="I88">
        <v>86</v>
      </c>
      <c r="J88">
        <v>72</v>
      </c>
      <c r="K88">
        <v>61</v>
      </c>
      <c r="L88">
        <v>90</v>
      </c>
      <c r="M88">
        <v>56</v>
      </c>
      <c r="N88">
        <v>82</v>
      </c>
      <c r="O88">
        <v>85</v>
      </c>
      <c r="P88">
        <v>76</v>
      </c>
      <c r="Q88">
        <v>89</v>
      </c>
      <c r="R88">
        <v>86</v>
      </c>
      <c r="S88">
        <v>71</v>
      </c>
      <c r="T88">
        <v>68</v>
      </c>
      <c r="U88">
        <v>74</v>
      </c>
      <c r="V88">
        <v>85</v>
      </c>
      <c r="W88">
        <v>78</v>
      </c>
      <c r="X88">
        <v>84</v>
      </c>
      <c r="Y88">
        <v>61</v>
      </c>
      <c r="Z88">
        <v>90</v>
      </c>
      <c r="AA88">
        <v>79</v>
      </c>
      <c r="AB88">
        <v>81</v>
      </c>
      <c r="AC88">
        <v>71</v>
      </c>
      <c r="AD88">
        <v>66</v>
      </c>
      <c r="AE88">
        <v>84</v>
      </c>
      <c r="AF88">
        <v>87</v>
      </c>
      <c r="AG88">
        <v>59</v>
      </c>
      <c r="AH88">
        <v>78</v>
      </c>
      <c r="AI88">
        <v>80</v>
      </c>
      <c r="AJ88">
        <v>69</v>
      </c>
      <c r="AK88">
        <v>51</v>
      </c>
      <c r="AL88">
        <v>14</v>
      </c>
      <c r="AM88">
        <v>12</v>
      </c>
      <c r="AN88">
        <v>5</v>
      </c>
      <c r="AO88">
        <v>10</v>
      </c>
      <c r="AP88">
        <v>13</v>
      </c>
    </row>
    <row r="89" spans="1:42" x14ac:dyDescent="0.25">
      <c r="A89">
        <v>87</v>
      </c>
      <c r="B89" t="s">
        <v>195</v>
      </c>
      <c r="C89">
        <v>27</v>
      </c>
      <c r="D89" t="s">
        <v>83</v>
      </c>
      <c r="E89" t="s">
        <v>119</v>
      </c>
      <c r="F89">
        <v>45000000</v>
      </c>
      <c r="G89">
        <v>180000</v>
      </c>
      <c r="H89" t="s">
        <v>46</v>
      </c>
      <c r="I89">
        <v>64</v>
      </c>
      <c r="J89">
        <v>88</v>
      </c>
      <c r="K89">
        <v>73</v>
      </c>
      <c r="L89">
        <v>80</v>
      </c>
      <c r="M89">
        <v>81</v>
      </c>
      <c r="N89">
        <v>85</v>
      </c>
      <c r="O89">
        <v>74</v>
      </c>
      <c r="P89">
        <v>71</v>
      </c>
      <c r="Q89">
        <v>59</v>
      </c>
      <c r="R89">
        <v>83</v>
      </c>
      <c r="S89">
        <v>81</v>
      </c>
      <c r="T89">
        <v>84</v>
      </c>
      <c r="U89">
        <v>85</v>
      </c>
      <c r="V89">
        <v>85</v>
      </c>
      <c r="W89">
        <v>85</v>
      </c>
      <c r="X89">
        <v>83</v>
      </c>
      <c r="Y89">
        <v>76</v>
      </c>
      <c r="Z89">
        <v>79</v>
      </c>
      <c r="AA89">
        <v>73</v>
      </c>
      <c r="AB89">
        <v>75</v>
      </c>
      <c r="AC89">
        <v>70</v>
      </c>
      <c r="AD89">
        <v>42</v>
      </c>
      <c r="AE89">
        <v>86</v>
      </c>
      <c r="AF89">
        <v>76</v>
      </c>
      <c r="AG89">
        <v>84</v>
      </c>
      <c r="AH89">
        <v>85</v>
      </c>
      <c r="AI89">
        <v>29</v>
      </c>
      <c r="AJ89">
        <v>42</v>
      </c>
      <c r="AK89">
        <v>30</v>
      </c>
      <c r="AL89">
        <v>11</v>
      </c>
      <c r="AM89">
        <v>6</v>
      </c>
      <c r="AN89">
        <v>9</v>
      </c>
      <c r="AO89">
        <v>5</v>
      </c>
      <c r="AP89">
        <v>6</v>
      </c>
    </row>
    <row r="90" spans="1:42" x14ac:dyDescent="0.25">
      <c r="A90">
        <v>88</v>
      </c>
      <c r="B90" t="s">
        <v>196</v>
      </c>
      <c r="C90">
        <v>27</v>
      </c>
      <c r="D90" t="s">
        <v>197</v>
      </c>
      <c r="E90" t="s">
        <v>198</v>
      </c>
      <c r="F90">
        <v>37500000</v>
      </c>
      <c r="G90">
        <v>96000</v>
      </c>
      <c r="H90" t="s">
        <v>101</v>
      </c>
      <c r="I90">
        <v>27</v>
      </c>
      <c r="J90">
        <v>10</v>
      </c>
      <c r="K90">
        <v>80</v>
      </c>
      <c r="L90">
        <v>60</v>
      </c>
      <c r="M90">
        <v>16</v>
      </c>
      <c r="N90">
        <v>54</v>
      </c>
      <c r="O90">
        <v>30</v>
      </c>
      <c r="P90">
        <v>10</v>
      </c>
      <c r="Q90">
        <v>61</v>
      </c>
      <c r="R90">
        <v>65</v>
      </c>
      <c r="S90">
        <v>80</v>
      </c>
      <c r="T90">
        <v>85</v>
      </c>
      <c r="U90">
        <v>68</v>
      </c>
      <c r="V90">
        <v>85</v>
      </c>
      <c r="W90">
        <v>59</v>
      </c>
      <c r="X90">
        <v>40</v>
      </c>
      <c r="Y90">
        <v>86</v>
      </c>
      <c r="Z90">
        <v>76</v>
      </c>
      <c r="AA90">
        <v>82</v>
      </c>
      <c r="AB90">
        <v>12</v>
      </c>
      <c r="AC90">
        <v>86</v>
      </c>
      <c r="AD90">
        <v>86</v>
      </c>
      <c r="AE90">
        <v>25</v>
      </c>
      <c r="AF90">
        <v>22</v>
      </c>
      <c r="AG90">
        <v>26</v>
      </c>
      <c r="AH90">
        <v>79</v>
      </c>
      <c r="AI90">
        <v>86</v>
      </c>
      <c r="AJ90">
        <v>87</v>
      </c>
      <c r="AK90">
        <v>89</v>
      </c>
      <c r="AL90">
        <v>8</v>
      </c>
      <c r="AM90">
        <v>6</v>
      </c>
      <c r="AN90">
        <v>8</v>
      </c>
      <c r="AO90">
        <v>15</v>
      </c>
      <c r="AP90">
        <v>12</v>
      </c>
    </row>
    <row r="91" spans="1:42" x14ac:dyDescent="0.25">
      <c r="A91">
        <v>89</v>
      </c>
      <c r="B91" t="s">
        <v>199</v>
      </c>
      <c r="C91">
        <v>30</v>
      </c>
      <c r="D91" t="s">
        <v>40</v>
      </c>
      <c r="E91" t="s">
        <v>57</v>
      </c>
      <c r="F91">
        <v>28500000</v>
      </c>
      <c r="G91">
        <v>170000</v>
      </c>
      <c r="H91" t="s">
        <v>80</v>
      </c>
      <c r="I91">
        <v>52</v>
      </c>
      <c r="J91">
        <v>54</v>
      </c>
      <c r="K91">
        <v>85</v>
      </c>
      <c r="L91">
        <v>75</v>
      </c>
      <c r="M91">
        <v>57</v>
      </c>
      <c r="N91">
        <v>51</v>
      </c>
      <c r="O91">
        <v>50</v>
      </c>
      <c r="P91">
        <v>39</v>
      </c>
      <c r="Q91">
        <v>72</v>
      </c>
      <c r="R91">
        <v>70</v>
      </c>
      <c r="S91">
        <v>57</v>
      </c>
      <c r="T91">
        <v>61</v>
      </c>
      <c r="U91">
        <v>64</v>
      </c>
      <c r="V91">
        <v>79</v>
      </c>
      <c r="W91">
        <v>62</v>
      </c>
      <c r="X91">
        <v>69</v>
      </c>
      <c r="Y91">
        <v>92</v>
      </c>
      <c r="Z91">
        <v>67</v>
      </c>
      <c r="AA91">
        <v>80</v>
      </c>
      <c r="AB91">
        <v>56</v>
      </c>
      <c r="AC91">
        <v>91</v>
      </c>
      <c r="AD91">
        <v>84</v>
      </c>
      <c r="AE91">
        <v>51</v>
      </c>
      <c r="AF91">
        <v>53</v>
      </c>
      <c r="AG91">
        <v>45</v>
      </c>
      <c r="AH91">
        <v>80</v>
      </c>
      <c r="AI91">
        <v>83</v>
      </c>
      <c r="AJ91">
        <v>85</v>
      </c>
      <c r="AK91">
        <v>84</v>
      </c>
      <c r="AL91">
        <v>12</v>
      </c>
      <c r="AM91">
        <v>5</v>
      </c>
      <c r="AN91">
        <v>8</v>
      </c>
      <c r="AO91">
        <v>11</v>
      </c>
      <c r="AP91">
        <v>12</v>
      </c>
    </row>
    <row r="92" spans="1:42" x14ac:dyDescent="0.25">
      <c r="A92">
        <v>90</v>
      </c>
      <c r="B92" t="s">
        <v>200</v>
      </c>
      <c r="C92">
        <v>29</v>
      </c>
      <c r="D92" t="s">
        <v>52</v>
      </c>
      <c r="E92" t="s">
        <v>201</v>
      </c>
      <c r="F92">
        <v>37000000</v>
      </c>
      <c r="G92">
        <v>66000</v>
      </c>
      <c r="H92" t="s">
        <v>58</v>
      </c>
      <c r="I92">
        <v>84</v>
      </c>
      <c r="J92">
        <v>79</v>
      </c>
      <c r="K92">
        <v>61</v>
      </c>
      <c r="L92">
        <v>90</v>
      </c>
      <c r="M92">
        <v>72</v>
      </c>
      <c r="N92">
        <v>78</v>
      </c>
      <c r="O92">
        <v>89</v>
      </c>
      <c r="P92">
        <v>90</v>
      </c>
      <c r="Q92">
        <v>87</v>
      </c>
      <c r="R92">
        <v>84</v>
      </c>
      <c r="S92">
        <v>51</v>
      </c>
      <c r="T92">
        <v>43</v>
      </c>
      <c r="U92">
        <v>66</v>
      </c>
      <c r="V92">
        <v>78</v>
      </c>
      <c r="W92">
        <v>72</v>
      </c>
      <c r="X92">
        <v>78</v>
      </c>
      <c r="Y92">
        <v>51</v>
      </c>
      <c r="Z92">
        <v>78</v>
      </c>
      <c r="AA92">
        <v>72</v>
      </c>
      <c r="AB92">
        <v>82</v>
      </c>
      <c r="AC92">
        <v>58</v>
      </c>
      <c r="AD92">
        <v>81</v>
      </c>
      <c r="AE92">
        <v>81</v>
      </c>
      <c r="AF92">
        <v>86</v>
      </c>
      <c r="AG92">
        <v>83</v>
      </c>
      <c r="AH92">
        <v>78</v>
      </c>
      <c r="AI92">
        <v>69</v>
      </c>
      <c r="AJ92">
        <v>68</v>
      </c>
      <c r="AK92">
        <v>60</v>
      </c>
      <c r="AL92">
        <v>5</v>
      </c>
      <c r="AM92">
        <v>9</v>
      </c>
      <c r="AN92">
        <v>12</v>
      </c>
      <c r="AO92">
        <v>14</v>
      </c>
      <c r="AP92">
        <v>8</v>
      </c>
    </row>
    <row r="93" spans="1:42" x14ac:dyDescent="0.25">
      <c r="A93">
        <v>91</v>
      </c>
      <c r="B93" t="s">
        <v>202</v>
      </c>
      <c r="C93">
        <v>29</v>
      </c>
      <c r="D93" t="s">
        <v>48</v>
      </c>
      <c r="E93" t="s">
        <v>203</v>
      </c>
      <c r="F93">
        <v>37000000</v>
      </c>
      <c r="G93">
        <v>235000</v>
      </c>
      <c r="H93" t="s">
        <v>84</v>
      </c>
      <c r="I93">
        <v>64</v>
      </c>
      <c r="J93">
        <v>81</v>
      </c>
      <c r="K93">
        <v>85</v>
      </c>
      <c r="L93">
        <v>84</v>
      </c>
      <c r="M93">
        <v>75</v>
      </c>
      <c r="N93">
        <v>82</v>
      </c>
      <c r="O93">
        <v>66</v>
      </c>
      <c r="P93">
        <v>72</v>
      </c>
      <c r="Q93">
        <v>80</v>
      </c>
      <c r="R93">
        <v>84</v>
      </c>
      <c r="S93">
        <v>73</v>
      </c>
      <c r="T93">
        <v>73</v>
      </c>
      <c r="U93">
        <v>69</v>
      </c>
      <c r="V93">
        <v>84</v>
      </c>
      <c r="W93">
        <v>66</v>
      </c>
      <c r="X93">
        <v>83</v>
      </c>
      <c r="Y93">
        <v>90</v>
      </c>
      <c r="Z93">
        <v>92</v>
      </c>
      <c r="AA93">
        <v>81</v>
      </c>
      <c r="AB93">
        <v>80</v>
      </c>
      <c r="AC93">
        <v>81</v>
      </c>
      <c r="AD93">
        <v>81</v>
      </c>
      <c r="AE93">
        <v>84</v>
      </c>
      <c r="AF93">
        <v>78</v>
      </c>
      <c r="AG93">
        <v>71</v>
      </c>
      <c r="AH93">
        <v>80</v>
      </c>
      <c r="AI93">
        <v>75</v>
      </c>
      <c r="AJ93">
        <v>81</v>
      </c>
      <c r="AK93">
        <v>73</v>
      </c>
      <c r="AL93">
        <v>16</v>
      </c>
      <c r="AM93">
        <v>16</v>
      </c>
      <c r="AN93">
        <v>11</v>
      </c>
      <c r="AO93">
        <v>6</v>
      </c>
      <c r="AP93">
        <v>8</v>
      </c>
    </row>
    <row r="94" spans="1:42" x14ac:dyDescent="0.25">
      <c r="A94">
        <v>92</v>
      </c>
      <c r="B94" t="s">
        <v>204</v>
      </c>
      <c r="C94">
        <v>28</v>
      </c>
      <c r="D94" t="s">
        <v>74</v>
      </c>
      <c r="E94" t="s">
        <v>45</v>
      </c>
      <c r="F94">
        <v>32000000</v>
      </c>
      <c r="G94">
        <v>125000</v>
      </c>
      <c r="H94" t="s">
        <v>54</v>
      </c>
      <c r="I94">
        <v>12</v>
      </c>
      <c r="J94">
        <v>12</v>
      </c>
      <c r="K94">
        <v>16</v>
      </c>
      <c r="L94">
        <v>32</v>
      </c>
      <c r="M94">
        <v>14</v>
      </c>
      <c r="N94">
        <v>11</v>
      </c>
      <c r="O94">
        <v>16</v>
      </c>
      <c r="P94">
        <v>14</v>
      </c>
      <c r="Q94">
        <v>36</v>
      </c>
      <c r="R94">
        <v>22</v>
      </c>
      <c r="S94">
        <v>51</v>
      </c>
      <c r="T94">
        <v>47</v>
      </c>
      <c r="U94">
        <v>55</v>
      </c>
      <c r="V94">
        <v>82</v>
      </c>
      <c r="W94">
        <v>51</v>
      </c>
      <c r="X94">
        <v>15</v>
      </c>
      <c r="Y94">
        <v>71</v>
      </c>
      <c r="Z94">
        <v>45</v>
      </c>
      <c r="AA94">
        <v>65</v>
      </c>
      <c r="AB94">
        <v>14</v>
      </c>
      <c r="AC94">
        <v>40</v>
      </c>
      <c r="AD94">
        <v>15</v>
      </c>
      <c r="AE94">
        <v>14</v>
      </c>
      <c r="AF94">
        <v>48</v>
      </c>
      <c r="AG94">
        <v>18</v>
      </c>
      <c r="AH94">
        <v>65</v>
      </c>
      <c r="AI94">
        <v>20</v>
      </c>
      <c r="AJ94">
        <v>13</v>
      </c>
      <c r="AK94">
        <v>12</v>
      </c>
      <c r="AL94">
        <v>85</v>
      </c>
      <c r="AM94">
        <v>81</v>
      </c>
      <c r="AN94">
        <v>71</v>
      </c>
      <c r="AO94">
        <v>85</v>
      </c>
      <c r="AP94">
        <v>87</v>
      </c>
    </row>
    <row r="95" spans="1:42" x14ac:dyDescent="0.25">
      <c r="A95">
        <v>93</v>
      </c>
      <c r="B95" t="s">
        <v>205</v>
      </c>
      <c r="C95">
        <v>29</v>
      </c>
      <c r="D95" t="s">
        <v>206</v>
      </c>
      <c r="E95" t="s">
        <v>53</v>
      </c>
      <c r="F95">
        <v>37500000</v>
      </c>
      <c r="G95">
        <v>215000</v>
      </c>
      <c r="H95" t="s">
        <v>153</v>
      </c>
      <c r="I95">
        <v>77</v>
      </c>
      <c r="J95">
        <v>80</v>
      </c>
      <c r="K95">
        <v>73</v>
      </c>
      <c r="L95">
        <v>77</v>
      </c>
      <c r="M95">
        <v>83</v>
      </c>
      <c r="N95">
        <v>87</v>
      </c>
      <c r="O95">
        <v>79</v>
      </c>
      <c r="P95">
        <v>78</v>
      </c>
      <c r="Q95">
        <v>75</v>
      </c>
      <c r="R95">
        <v>86</v>
      </c>
      <c r="S95">
        <v>86</v>
      </c>
      <c r="T95">
        <v>79</v>
      </c>
      <c r="U95">
        <v>90</v>
      </c>
      <c r="V95">
        <v>83</v>
      </c>
      <c r="W95">
        <v>87</v>
      </c>
      <c r="X95">
        <v>84</v>
      </c>
      <c r="Y95">
        <v>87</v>
      </c>
      <c r="Z95">
        <v>83</v>
      </c>
      <c r="AA95">
        <v>72</v>
      </c>
      <c r="AB95">
        <v>81</v>
      </c>
      <c r="AC95">
        <v>79</v>
      </c>
      <c r="AD95">
        <v>46</v>
      </c>
      <c r="AE95">
        <v>84</v>
      </c>
      <c r="AF95">
        <v>82</v>
      </c>
      <c r="AG95">
        <v>77</v>
      </c>
      <c r="AH95">
        <v>84</v>
      </c>
      <c r="AI95">
        <v>38</v>
      </c>
      <c r="AJ95">
        <v>44</v>
      </c>
      <c r="AK95">
        <v>35</v>
      </c>
      <c r="AL95">
        <v>10</v>
      </c>
      <c r="AM95">
        <v>10</v>
      </c>
      <c r="AN95">
        <v>15</v>
      </c>
      <c r="AO95">
        <v>12</v>
      </c>
      <c r="AP95">
        <v>13</v>
      </c>
    </row>
    <row r="96" spans="1:42" x14ac:dyDescent="0.25">
      <c r="A96">
        <v>94</v>
      </c>
      <c r="B96" t="s">
        <v>207</v>
      </c>
      <c r="C96">
        <v>28</v>
      </c>
      <c r="D96" t="s">
        <v>191</v>
      </c>
      <c r="E96" t="s">
        <v>208</v>
      </c>
      <c r="F96">
        <v>39000000</v>
      </c>
      <c r="G96">
        <v>28000</v>
      </c>
      <c r="H96" t="s">
        <v>120</v>
      </c>
      <c r="I96">
        <v>79</v>
      </c>
      <c r="J96">
        <v>76</v>
      </c>
      <c r="K96">
        <v>46</v>
      </c>
      <c r="L96">
        <v>79</v>
      </c>
      <c r="M96">
        <v>73</v>
      </c>
      <c r="N96">
        <v>93</v>
      </c>
      <c r="O96">
        <v>84</v>
      </c>
      <c r="P96">
        <v>78</v>
      </c>
      <c r="Q96">
        <v>72</v>
      </c>
      <c r="R96">
        <v>86</v>
      </c>
      <c r="S96">
        <v>87</v>
      </c>
      <c r="T96">
        <v>75</v>
      </c>
      <c r="U96">
        <v>92</v>
      </c>
      <c r="V96">
        <v>84</v>
      </c>
      <c r="W96">
        <v>87</v>
      </c>
      <c r="X96">
        <v>69</v>
      </c>
      <c r="Y96">
        <v>72</v>
      </c>
      <c r="Z96">
        <v>85</v>
      </c>
      <c r="AA96">
        <v>49</v>
      </c>
      <c r="AB96">
        <v>76</v>
      </c>
      <c r="AC96">
        <v>46</v>
      </c>
      <c r="AD96">
        <v>38</v>
      </c>
      <c r="AE96">
        <v>83</v>
      </c>
      <c r="AF96">
        <v>79</v>
      </c>
      <c r="AG96">
        <v>75</v>
      </c>
      <c r="AH96">
        <v>90</v>
      </c>
      <c r="AI96">
        <v>51</v>
      </c>
      <c r="AJ96">
        <v>36</v>
      </c>
      <c r="AK96">
        <v>25</v>
      </c>
      <c r="AL96">
        <v>13</v>
      </c>
      <c r="AM96">
        <v>16</v>
      </c>
      <c r="AN96">
        <v>12</v>
      </c>
      <c r="AO96">
        <v>7</v>
      </c>
      <c r="AP96">
        <v>7</v>
      </c>
    </row>
    <row r="97" spans="1:42" x14ac:dyDescent="0.25">
      <c r="A97">
        <v>95</v>
      </c>
      <c r="B97" t="s">
        <v>209</v>
      </c>
      <c r="C97">
        <v>29</v>
      </c>
      <c r="D97" t="s">
        <v>77</v>
      </c>
      <c r="E97" t="s">
        <v>75</v>
      </c>
      <c r="F97">
        <v>30000000</v>
      </c>
      <c r="G97">
        <v>115000</v>
      </c>
      <c r="H97" t="s">
        <v>69</v>
      </c>
      <c r="I97">
        <v>69</v>
      </c>
      <c r="J97">
        <v>34</v>
      </c>
      <c r="K97">
        <v>85</v>
      </c>
      <c r="L97">
        <v>75</v>
      </c>
      <c r="M97">
        <v>52</v>
      </c>
      <c r="N97">
        <v>64</v>
      </c>
      <c r="O97">
        <v>53</v>
      </c>
      <c r="P97">
        <v>31</v>
      </c>
      <c r="Q97">
        <v>83</v>
      </c>
      <c r="R97">
        <v>70</v>
      </c>
      <c r="S97">
        <v>67</v>
      </c>
      <c r="T97">
        <v>72</v>
      </c>
      <c r="U97">
        <v>56</v>
      </c>
      <c r="V97">
        <v>82</v>
      </c>
      <c r="W97">
        <v>52</v>
      </c>
      <c r="X97">
        <v>78</v>
      </c>
      <c r="Y97">
        <v>74</v>
      </c>
      <c r="Z97">
        <v>69</v>
      </c>
      <c r="AA97">
        <v>91</v>
      </c>
      <c r="AB97">
        <v>58</v>
      </c>
      <c r="AC97">
        <v>81</v>
      </c>
      <c r="AD97">
        <v>81</v>
      </c>
      <c r="AE97">
        <v>47</v>
      </c>
      <c r="AF97">
        <v>75</v>
      </c>
      <c r="AG97">
        <v>46</v>
      </c>
      <c r="AH97">
        <v>84</v>
      </c>
      <c r="AI97">
        <v>84</v>
      </c>
      <c r="AJ97">
        <v>87</v>
      </c>
      <c r="AK97">
        <v>87</v>
      </c>
      <c r="AL97">
        <v>7</v>
      </c>
      <c r="AM97">
        <v>12</v>
      </c>
      <c r="AN97">
        <v>15</v>
      </c>
      <c r="AO97">
        <v>6</v>
      </c>
      <c r="AP97">
        <v>5</v>
      </c>
    </row>
    <row r="98" spans="1:42" x14ac:dyDescent="0.25">
      <c r="A98">
        <v>96</v>
      </c>
      <c r="B98" t="s">
        <v>210</v>
      </c>
      <c r="C98">
        <v>31</v>
      </c>
      <c r="D98" t="s">
        <v>206</v>
      </c>
      <c r="E98" t="s">
        <v>41</v>
      </c>
      <c r="F98">
        <v>26000000</v>
      </c>
      <c r="G98">
        <v>205000</v>
      </c>
      <c r="H98" t="s">
        <v>90</v>
      </c>
      <c r="I98">
        <v>76</v>
      </c>
      <c r="J98">
        <v>75</v>
      </c>
      <c r="K98">
        <v>82</v>
      </c>
      <c r="L98">
        <v>83</v>
      </c>
      <c r="M98">
        <v>78</v>
      </c>
      <c r="N98">
        <v>76</v>
      </c>
      <c r="O98">
        <v>76</v>
      </c>
      <c r="P98">
        <v>68</v>
      </c>
      <c r="Q98">
        <v>79</v>
      </c>
      <c r="R98">
        <v>82</v>
      </c>
      <c r="S98">
        <v>60</v>
      </c>
      <c r="T98">
        <v>55</v>
      </c>
      <c r="U98">
        <v>74</v>
      </c>
      <c r="V98">
        <v>84</v>
      </c>
      <c r="W98">
        <v>75</v>
      </c>
      <c r="X98">
        <v>86</v>
      </c>
      <c r="Y98">
        <v>85</v>
      </c>
      <c r="Z98">
        <v>83</v>
      </c>
      <c r="AA98">
        <v>79</v>
      </c>
      <c r="AB98">
        <v>85</v>
      </c>
      <c r="AC98">
        <v>93</v>
      </c>
      <c r="AD98">
        <v>84</v>
      </c>
      <c r="AE98">
        <v>80</v>
      </c>
      <c r="AF98">
        <v>80</v>
      </c>
      <c r="AG98">
        <v>81</v>
      </c>
      <c r="AH98">
        <v>81</v>
      </c>
      <c r="AI98">
        <v>82</v>
      </c>
      <c r="AJ98">
        <v>87</v>
      </c>
      <c r="AK98">
        <v>86</v>
      </c>
      <c r="AL98">
        <v>4</v>
      </c>
      <c r="AM98">
        <v>2</v>
      </c>
      <c r="AN98">
        <v>4</v>
      </c>
      <c r="AO98">
        <v>2</v>
      </c>
      <c r="AP98">
        <v>4</v>
      </c>
    </row>
    <row r="99" spans="1:42" x14ac:dyDescent="0.25">
      <c r="A99">
        <v>97</v>
      </c>
      <c r="B99" t="s">
        <v>211</v>
      </c>
      <c r="C99">
        <v>29</v>
      </c>
      <c r="D99" t="s">
        <v>63</v>
      </c>
      <c r="E99" t="s">
        <v>131</v>
      </c>
      <c r="F99">
        <v>37500000</v>
      </c>
      <c r="G99">
        <v>110000</v>
      </c>
      <c r="H99" t="s">
        <v>120</v>
      </c>
      <c r="I99">
        <v>83</v>
      </c>
      <c r="J99">
        <v>79</v>
      </c>
      <c r="K99">
        <v>80</v>
      </c>
      <c r="L99">
        <v>81</v>
      </c>
      <c r="M99">
        <v>81</v>
      </c>
      <c r="N99">
        <v>84</v>
      </c>
      <c r="O99">
        <v>73</v>
      </c>
      <c r="P99">
        <v>75</v>
      </c>
      <c r="Q99">
        <v>77</v>
      </c>
      <c r="R99">
        <v>85</v>
      </c>
      <c r="S99">
        <v>84</v>
      </c>
      <c r="T99">
        <v>88</v>
      </c>
      <c r="U99">
        <v>78</v>
      </c>
      <c r="V99">
        <v>81</v>
      </c>
      <c r="W99">
        <v>74</v>
      </c>
      <c r="X99">
        <v>84</v>
      </c>
      <c r="Y99">
        <v>84</v>
      </c>
      <c r="Z99">
        <v>89</v>
      </c>
      <c r="AA99">
        <v>78</v>
      </c>
      <c r="AB99">
        <v>79</v>
      </c>
      <c r="AC99">
        <v>65</v>
      </c>
      <c r="AD99">
        <v>69</v>
      </c>
      <c r="AE99">
        <v>85</v>
      </c>
      <c r="AF99">
        <v>79</v>
      </c>
      <c r="AG99">
        <v>76</v>
      </c>
      <c r="AH99">
        <v>80</v>
      </c>
      <c r="AI99">
        <v>64</v>
      </c>
      <c r="AJ99">
        <v>52</v>
      </c>
      <c r="AK99">
        <v>54</v>
      </c>
      <c r="AL99">
        <v>6</v>
      </c>
      <c r="AM99">
        <v>7</v>
      </c>
      <c r="AN99">
        <v>10</v>
      </c>
      <c r="AO99">
        <v>9</v>
      </c>
      <c r="AP99">
        <v>6</v>
      </c>
    </row>
    <row r="100" spans="1:42" x14ac:dyDescent="0.25">
      <c r="A100">
        <v>98</v>
      </c>
      <c r="B100" t="s">
        <v>212</v>
      </c>
      <c r="C100">
        <v>32</v>
      </c>
      <c r="D100" t="s">
        <v>174</v>
      </c>
      <c r="E100" t="s">
        <v>198</v>
      </c>
      <c r="F100">
        <v>30500000</v>
      </c>
      <c r="G100">
        <v>115000</v>
      </c>
      <c r="H100" t="s">
        <v>46</v>
      </c>
      <c r="I100">
        <v>63</v>
      </c>
      <c r="J100">
        <v>89</v>
      </c>
      <c r="K100">
        <v>84</v>
      </c>
      <c r="L100">
        <v>77</v>
      </c>
      <c r="M100">
        <v>77</v>
      </c>
      <c r="N100">
        <v>76</v>
      </c>
      <c r="O100">
        <v>65</v>
      </c>
      <c r="P100">
        <v>54</v>
      </c>
      <c r="Q100">
        <v>72</v>
      </c>
      <c r="R100">
        <v>84</v>
      </c>
      <c r="S100">
        <v>65</v>
      </c>
      <c r="T100">
        <v>66</v>
      </c>
      <c r="U100">
        <v>57</v>
      </c>
      <c r="V100">
        <v>83</v>
      </c>
      <c r="W100">
        <v>36</v>
      </c>
      <c r="X100">
        <v>86</v>
      </c>
      <c r="Y100">
        <v>66</v>
      </c>
      <c r="Z100">
        <v>76</v>
      </c>
      <c r="AA100">
        <v>80</v>
      </c>
      <c r="AB100">
        <v>79</v>
      </c>
      <c r="AC100">
        <v>51</v>
      </c>
      <c r="AD100">
        <v>50</v>
      </c>
      <c r="AE100">
        <v>89</v>
      </c>
      <c r="AF100">
        <v>74</v>
      </c>
      <c r="AG100">
        <v>67</v>
      </c>
      <c r="AH100">
        <v>83</v>
      </c>
      <c r="AI100">
        <v>58</v>
      </c>
      <c r="AJ100">
        <v>28</v>
      </c>
      <c r="AK100">
        <v>16</v>
      </c>
      <c r="AL100">
        <v>9</v>
      </c>
      <c r="AM100">
        <v>11</v>
      </c>
      <c r="AN100">
        <v>13</v>
      </c>
      <c r="AO100">
        <v>15</v>
      </c>
      <c r="AP100">
        <v>15</v>
      </c>
    </row>
    <row r="101" spans="1:42" x14ac:dyDescent="0.25">
      <c r="A101">
        <v>99</v>
      </c>
      <c r="B101" t="s">
        <v>213</v>
      </c>
      <c r="C101">
        <v>31</v>
      </c>
      <c r="D101" t="s">
        <v>77</v>
      </c>
      <c r="E101" t="s">
        <v>45</v>
      </c>
      <c r="F101">
        <v>33000000</v>
      </c>
      <c r="G101">
        <v>160000</v>
      </c>
      <c r="H101" t="s">
        <v>58</v>
      </c>
      <c r="I101">
        <v>72</v>
      </c>
      <c r="J101">
        <v>72</v>
      </c>
      <c r="K101">
        <v>76</v>
      </c>
      <c r="L101">
        <v>85</v>
      </c>
      <c r="M101">
        <v>78</v>
      </c>
      <c r="N101">
        <v>81</v>
      </c>
      <c r="O101">
        <v>68</v>
      </c>
      <c r="P101">
        <v>68</v>
      </c>
      <c r="Q101">
        <v>82</v>
      </c>
      <c r="R101">
        <v>84</v>
      </c>
      <c r="S101">
        <v>54</v>
      </c>
      <c r="T101">
        <v>60</v>
      </c>
      <c r="U101">
        <v>55</v>
      </c>
      <c r="V101">
        <v>87</v>
      </c>
      <c r="W101">
        <v>54</v>
      </c>
      <c r="X101">
        <v>82</v>
      </c>
      <c r="Y101">
        <v>68</v>
      </c>
      <c r="Z101">
        <v>78</v>
      </c>
      <c r="AA101">
        <v>87</v>
      </c>
      <c r="AB101">
        <v>78</v>
      </c>
      <c r="AC101">
        <v>82</v>
      </c>
      <c r="AD101">
        <v>86</v>
      </c>
      <c r="AE101">
        <v>79</v>
      </c>
      <c r="AF101">
        <v>82</v>
      </c>
      <c r="AG101">
        <v>69</v>
      </c>
      <c r="AH101">
        <v>84</v>
      </c>
      <c r="AI101">
        <v>80</v>
      </c>
      <c r="AJ101">
        <v>83</v>
      </c>
      <c r="AK101">
        <v>76</v>
      </c>
      <c r="AL101">
        <v>11</v>
      </c>
      <c r="AM101">
        <v>9</v>
      </c>
      <c r="AN101">
        <v>5</v>
      </c>
      <c r="AO101">
        <v>15</v>
      </c>
      <c r="AP10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26A2F-B833-4293-BEAC-BBC7E26ABC39}">
  <dimension ref="A3:B54"/>
  <sheetViews>
    <sheetView workbookViewId="0">
      <selection activeCell="A30" sqref="A16:A30"/>
    </sheetView>
  </sheetViews>
  <sheetFormatPr defaultRowHeight="15" x14ac:dyDescent="0.25"/>
  <cols>
    <col min="1" max="1" width="29.5703125" style="8" bestFit="1" customWidth="1"/>
    <col min="2" max="2" width="13.5703125" style="8" bestFit="1" customWidth="1"/>
    <col min="3" max="3" width="19.140625" style="8" bestFit="1" customWidth="1"/>
    <col min="4" max="16" width="14.85546875" style="8" bestFit="1" customWidth="1"/>
    <col min="17" max="30" width="23.85546875" style="8" bestFit="1" customWidth="1"/>
    <col min="31" max="31" width="14.85546875" style="8" bestFit="1" customWidth="1"/>
    <col min="32" max="46" width="10.140625" style="8" bestFit="1" customWidth="1"/>
    <col min="47" max="47" width="10.42578125" style="8" bestFit="1" customWidth="1"/>
    <col min="48" max="48" width="9" style="8" bestFit="1" customWidth="1"/>
    <col min="49" max="50" width="6.5703125" style="8" bestFit="1" customWidth="1"/>
    <col min="51" max="51" width="9" style="8" bestFit="1" customWidth="1"/>
    <col min="52" max="54" width="8.85546875" style="8" bestFit="1" customWidth="1"/>
    <col min="55" max="55" width="7.28515625" style="8" bestFit="1" customWidth="1"/>
    <col min="56" max="62" width="8.42578125" style="8" bestFit="1" customWidth="1"/>
    <col min="63" max="63" width="7.7109375" style="8" bestFit="1" customWidth="1"/>
    <col min="64" max="65" width="8.85546875" style="8" bestFit="1" customWidth="1"/>
    <col min="66" max="66" width="7.28515625" style="8" bestFit="1" customWidth="1"/>
    <col min="67" max="70" width="8.42578125" style="8" bestFit="1" customWidth="1"/>
    <col min="71" max="71" width="7.85546875" style="8" bestFit="1" customWidth="1"/>
    <col min="72" max="72" width="5.5703125" style="8" bestFit="1" customWidth="1"/>
    <col min="73" max="73" width="7.5703125" style="8" bestFit="1" customWidth="1"/>
    <col min="74" max="79" width="8.42578125" style="8" bestFit="1" customWidth="1"/>
    <col min="80" max="80" width="8.85546875" style="8" bestFit="1" customWidth="1"/>
    <col min="81" max="84" width="8.42578125" style="8" bestFit="1" customWidth="1"/>
    <col min="85" max="85" width="9.140625" style="8" bestFit="1"/>
    <col min="86" max="86" width="6.5703125" style="8" bestFit="1" customWidth="1"/>
    <col min="87" max="87" width="9.140625" style="8" bestFit="1"/>
    <col min="88" max="89" width="8.85546875" style="8" bestFit="1" customWidth="1"/>
    <col min="90" max="90" width="7.42578125" style="8" bestFit="1" customWidth="1"/>
    <col min="91" max="92" width="6.5703125" style="8" bestFit="1" customWidth="1"/>
    <col min="93" max="93" width="7.85546875" style="8" bestFit="1" customWidth="1"/>
    <col min="94" max="94" width="7.7109375" style="8" bestFit="1" customWidth="1"/>
    <col min="95" max="95" width="7.5703125" style="8" bestFit="1" customWidth="1"/>
    <col min="96" max="100" width="7.85546875" style="8" bestFit="1" customWidth="1"/>
    <col min="101" max="101" width="8.140625" style="8" bestFit="1" customWidth="1"/>
    <col min="102" max="110" width="17.140625" style="8" bestFit="1" customWidth="1"/>
    <col min="111" max="111" width="7.28515625" style="8" bestFit="1" customWidth="1"/>
    <col min="112" max="112" width="10.42578125" style="8" bestFit="1" customWidth="1"/>
    <col min="113" max="115" width="18.7109375" style="8" bestFit="1" customWidth="1"/>
    <col min="116" max="116" width="21.5703125" style="8" bestFit="1" customWidth="1"/>
    <col min="117" max="117" width="12.42578125" style="8" bestFit="1" customWidth="1"/>
    <col min="118" max="118" width="15.28515625" style="8" bestFit="1" customWidth="1"/>
    <col min="119" max="119" width="12.140625" style="8" bestFit="1" customWidth="1"/>
    <col min="120" max="120" width="14.85546875" style="8" bestFit="1" customWidth="1"/>
    <col min="121" max="121" width="10.42578125" style="8" bestFit="1" customWidth="1"/>
    <col min="122" max="16384" width="9.140625" style="8"/>
  </cols>
  <sheetData>
    <row r="3" spans="1:2" x14ac:dyDescent="0.25">
      <c r="A3" s="9" t="s">
        <v>3</v>
      </c>
      <c r="B3" s="8" t="s">
        <v>219</v>
      </c>
    </row>
    <row r="4" spans="1:2" x14ac:dyDescent="0.25">
      <c r="A4" s="8" t="s">
        <v>119</v>
      </c>
      <c r="B4" s="8">
        <v>3</v>
      </c>
    </row>
    <row r="5" spans="1:2" x14ac:dyDescent="0.25">
      <c r="A5" s="8" t="s">
        <v>168</v>
      </c>
      <c r="B5" s="8">
        <v>1</v>
      </c>
    </row>
    <row r="6" spans="1:2" x14ac:dyDescent="0.25">
      <c r="A6" s="8" t="s">
        <v>60</v>
      </c>
      <c r="B6" s="8">
        <v>3</v>
      </c>
    </row>
    <row r="7" spans="1:2" x14ac:dyDescent="0.25">
      <c r="A7" s="8" t="s">
        <v>41</v>
      </c>
      <c r="B7" s="8">
        <v>10</v>
      </c>
    </row>
    <row r="8" spans="1:2" x14ac:dyDescent="0.25">
      <c r="A8" s="8" t="s">
        <v>208</v>
      </c>
      <c r="B8" s="8">
        <v>1</v>
      </c>
    </row>
    <row r="9" spans="1:2" x14ac:dyDescent="0.25">
      <c r="A9" s="8" t="s">
        <v>203</v>
      </c>
      <c r="B9" s="8">
        <v>1</v>
      </c>
    </row>
    <row r="10" spans="1:2" x14ac:dyDescent="0.25">
      <c r="A10" s="8" t="s">
        <v>131</v>
      </c>
      <c r="B10" s="8">
        <v>4</v>
      </c>
    </row>
    <row r="11" spans="1:2" x14ac:dyDescent="0.25">
      <c r="A11" s="8" t="s">
        <v>45</v>
      </c>
      <c r="B11" s="8">
        <v>10</v>
      </c>
    </row>
    <row r="12" spans="1:2" x14ac:dyDescent="0.25">
      <c r="A12" s="8" t="s">
        <v>143</v>
      </c>
      <c r="B12" s="8">
        <v>2</v>
      </c>
    </row>
    <row r="13" spans="1:2" x14ac:dyDescent="0.25">
      <c r="A13" s="8" t="s">
        <v>106</v>
      </c>
      <c r="B13" s="8">
        <v>5</v>
      </c>
    </row>
    <row r="14" spans="1:2" x14ac:dyDescent="0.25">
      <c r="A14" s="8" t="s">
        <v>57</v>
      </c>
      <c r="B14" s="8">
        <v>10</v>
      </c>
    </row>
    <row r="15" spans="1:2" x14ac:dyDescent="0.25">
      <c r="A15" s="8" t="s">
        <v>53</v>
      </c>
      <c r="B15" s="8">
        <v>4</v>
      </c>
    </row>
    <row r="16" spans="1:2" x14ac:dyDescent="0.25">
      <c r="A16" s="8" t="s">
        <v>128</v>
      </c>
      <c r="B16" s="8">
        <v>1</v>
      </c>
    </row>
    <row r="17" spans="1:2" x14ac:dyDescent="0.25">
      <c r="A17" s="8" t="s">
        <v>112</v>
      </c>
      <c r="B17" s="8">
        <v>4</v>
      </c>
    </row>
    <row r="18" spans="1:2" x14ac:dyDescent="0.25">
      <c r="A18" s="8" t="s">
        <v>186</v>
      </c>
      <c r="B18" s="8">
        <v>1</v>
      </c>
    </row>
    <row r="19" spans="1:2" x14ac:dyDescent="0.25">
      <c r="A19" s="8" t="s">
        <v>49</v>
      </c>
      <c r="B19" s="8">
        <v>6</v>
      </c>
    </row>
    <row r="20" spans="1:2" x14ac:dyDescent="0.25">
      <c r="A20" s="8" t="s">
        <v>64</v>
      </c>
      <c r="B20" s="8">
        <v>11</v>
      </c>
    </row>
    <row r="21" spans="1:2" x14ac:dyDescent="0.25">
      <c r="A21" s="8" t="s">
        <v>198</v>
      </c>
      <c r="B21" s="8">
        <v>2</v>
      </c>
    </row>
    <row r="22" spans="1:2" x14ac:dyDescent="0.25">
      <c r="A22" s="8" t="s">
        <v>88</v>
      </c>
      <c r="B22" s="8">
        <v>5</v>
      </c>
    </row>
    <row r="23" spans="1:2" x14ac:dyDescent="0.25">
      <c r="A23" s="8" t="s">
        <v>201</v>
      </c>
      <c r="B23" s="8">
        <v>1</v>
      </c>
    </row>
    <row r="24" spans="1:2" x14ac:dyDescent="0.25">
      <c r="A24" s="8" t="s">
        <v>180</v>
      </c>
      <c r="B24" s="8">
        <v>1</v>
      </c>
    </row>
    <row r="25" spans="1:2" x14ac:dyDescent="0.25">
      <c r="A25" s="8" t="s">
        <v>72</v>
      </c>
      <c r="B25" s="8">
        <v>5</v>
      </c>
    </row>
    <row r="26" spans="1:2" x14ac:dyDescent="0.25">
      <c r="A26" s="8" t="s">
        <v>75</v>
      </c>
      <c r="B26" s="8">
        <v>9</v>
      </c>
    </row>
    <row r="27" spans="1:2" x14ac:dyDescent="0.25">
      <c r="A27" s="8" t="s">
        <v>217</v>
      </c>
      <c r="B27" s="8">
        <v>100</v>
      </c>
    </row>
    <row r="30" spans="1:2" x14ac:dyDescent="0.25">
      <c r="A30" s="9" t="s">
        <v>3</v>
      </c>
      <c r="B30" s="8" t="s">
        <v>219</v>
      </c>
    </row>
    <row r="31" spans="1:2" x14ac:dyDescent="0.25">
      <c r="A31" s="8" t="s">
        <v>119</v>
      </c>
      <c r="B31" s="10">
        <v>0.03</v>
      </c>
    </row>
    <row r="32" spans="1:2" x14ac:dyDescent="0.25">
      <c r="A32" s="8" t="s">
        <v>168</v>
      </c>
      <c r="B32" s="10">
        <v>0.01</v>
      </c>
    </row>
    <row r="33" spans="1:2" x14ac:dyDescent="0.25">
      <c r="A33" s="8" t="s">
        <v>60</v>
      </c>
      <c r="B33" s="10">
        <v>0.03</v>
      </c>
    </row>
    <row r="34" spans="1:2" x14ac:dyDescent="0.25">
      <c r="A34" s="8" t="s">
        <v>41</v>
      </c>
      <c r="B34" s="10">
        <v>0.1</v>
      </c>
    </row>
    <row r="35" spans="1:2" x14ac:dyDescent="0.25">
      <c r="A35" s="8" t="s">
        <v>208</v>
      </c>
      <c r="B35" s="10">
        <v>0.01</v>
      </c>
    </row>
    <row r="36" spans="1:2" x14ac:dyDescent="0.25">
      <c r="A36" s="8" t="s">
        <v>203</v>
      </c>
      <c r="B36" s="10">
        <v>0.01</v>
      </c>
    </row>
    <row r="37" spans="1:2" x14ac:dyDescent="0.25">
      <c r="A37" s="8" t="s">
        <v>131</v>
      </c>
      <c r="B37" s="10">
        <v>0.04</v>
      </c>
    </row>
    <row r="38" spans="1:2" x14ac:dyDescent="0.25">
      <c r="A38" s="8" t="s">
        <v>45</v>
      </c>
      <c r="B38" s="10">
        <v>0.1</v>
      </c>
    </row>
    <row r="39" spans="1:2" x14ac:dyDescent="0.25">
      <c r="A39" s="8" t="s">
        <v>143</v>
      </c>
      <c r="B39" s="10">
        <v>0.02</v>
      </c>
    </row>
    <row r="40" spans="1:2" x14ac:dyDescent="0.25">
      <c r="A40" s="8" t="s">
        <v>106</v>
      </c>
      <c r="B40" s="10">
        <v>0.05</v>
      </c>
    </row>
    <row r="41" spans="1:2" x14ac:dyDescent="0.25">
      <c r="A41" s="8" t="s">
        <v>57</v>
      </c>
      <c r="B41" s="10">
        <v>0.1</v>
      </c>
    </row>
    <row r="42" spans="1:2" x14ac:dyDescent="0.25">
      <c r="A42" s="8" t="s">
        <v>53</v>
      </c>
      <c r="B42" s="10">
        <v>0.04</v>
      </c>
    </row>
    <row r="43" spans="1:2" x14ac:dyDescent="0.25">
      <c r="A43" s="8" t="s">
        <v>128</v>
      </c>
      <c r="B43" s="10">
        <v>0.01</v>
      </c>
    </row>
    <row r="44" spans="1:2" x14ac:dyDescent="0.25">
      <c r="A44" s="8" t="s">
        <v>112</v>
      </c>
      <c r="B44" s="10">
        <v>0.04</v>
      </c>
    </row>
    <row r="45" spans="1:2" x14ac:dyDescent="0.25">
      <c r="A45" s="8" t="s">
        <v>186</v>
      </c>
      <c r="B45" s="10">
        <v>0.01</v>
      </c>
    </row>
    <row r="46" spans="1:2" x14ac:dyDescent="0.25">
      <c r="A46" s="8" t="s">
        <v>49</v>
      </c>
      <c r="B46" s="10">
        <v>0.06</v>
      </c>
    </row>
    <row r="47" spans="1:2" x14ac:dyDescent="0.25">
      <c r="A47" s="8" t="s">
        <v>64</v>
      </c>
      <c r="B47" s="10">
        <v>0.11</v>
      </c>
    </row>
    <row r="48" spans="1:2" x14ac:dyDescent="0.25">
      <c r="A48" s="8" t="s">
        <v>198</v>
      </c>
      <c r="B48" s="10">
        <v>0.02</v>
      </c>
    </row>
    <row r="49" spans="1:2" x14ac:dyDescent="0.25">
      <c r="A49" s="8" t="s">
        <v>88</v>
      </c>
      <c r="B49" s="10">
        <v>0.05</v>
      </c>
    </row>
    <row r="50" spans="1:2" x14ac:dyDescent="0.25">
      <c r="A50" s="8" t="s">
        <v>201</v>
      </c>
      <c r="B50" s="10">
        <v>0.01</v>
      </c>
    </row>
    <row r="51" spans="1:2" x14ac:dyDescent="0.25">
      <c r="A51" s="8" t="s">
        <v>180</v>
      </c>
      <c r="B51" s="10">
        <v>0.01</v>
      </c>
    </row>
    <row r="52" spans="1:2" x14ac:dyDescent="0.25">
      <c r="A52" s="8" t="s">
        <v>72</v>
      </c>
      <c r="B52" s="10">
        <v>0.05</v>
      </c>
    </row>
    <row r="53" spans="1:2" x14ac:dyDescent="0.25">
      <c r="A53" s="8" t="s">
        <v>75</v>
      </c>
      <c r="B53" s="10">
        <v>0.09</v>
      </c>
    </row>
    <row r="54" spans="1:2" x14ac:dyDescent="0.25">
      <c r="A54" s="8" t="s">
        <v>217</v>
      </c>
      <c r="B54" s="10">
        <v>1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3FC7-4CD8-4AC3-8BEA-6F5C36B6CAEC}">
  <dimension ref="A3:B40"/>
  <sheetViews>
    <sheetView topLeftCell="A7" workbookViewId="0">
      <selection activeCell="L28" sqref="L28"/>
    </sheetView>
  </sheetViews>
  <sheetFormatPr defaultRowHeight="15" x14ac:dyDescent="0.25"/>
  <cols>
    <col min="1" max="1" width="10.42578125" style="8" bestFit="1" customWidth="1"/>
    <col min="2" max="2" width="13.28515625" style="8" bestFit="1" customWidth="1"/>
    <col min="3" max="16384" width="9.140625" style="8"/>
  </cols>
  <sheetData>
    <row r="3" spans="1:2" x14ac:dyDescent="0.25">
      <c r="A3" s="9" t="s">
        <v>1</v>
      </c>
      <c r="B3" s="8" t="s">
        <v>219</v>
      </c>
    </row>
    <row r="4" spans="1:2" x14ac:dyDescent="0.25">
      <c r="A4" s="8">
        <v>19</v>
      </c>
      <c r="B4" s="8">
        <v>1</v>
      </c>
    </row>
    <row r="5" spans="1:2" x14ac:dyDescent="0.25">
      <c r="A5" s="8">
        <v>22</v>
      </c>
      <c r="B5" s="8">
        <v>2</v>
      </c>
    </row>
    <row r="6" spans="1:2" x14ac:dyDescent="0.25">
      <c r="A6" s="8">
        <v>23</v>
      </c>
      <c r="B6" s="8">
        <v>6</v>
      </c>
    </row>
    <row r="7" spans="1:2" x14ac:dyDescent="0.25">
      <c r="A7" s="8">
        <v>24</v>
      </c>
      <c r="B7" s="8">
        <v>5</v>
      </c>
    </row>
    <row r="8" spans="1:2" x14ac:dyDescent="0.25">
      <c r="A8" s="8">
        <v>25</v>
      </c>
      <c r="B8" s="8">
        <v>7</v>
      </c>
    </row>
    <row r="9" spans="1:2" x14ac:dyDescent="0.25">
      <c r="A9" s="8">
        <v>26</v>
      </c>
      <c r="B9" s="8">
        <v>14</v>
      </c>
    </row>
    <row r="10" spans="1:2" x14ac:dyDescent="0.25">
      <c r="A10" s="8">
        <v>27</v>
      </c>
      <c r="B10" s="8">
        <v>13</v>
      </c>
    </row>
    <row r="11" spans="1:2" x14ac:dyDescent="0.25">
      <c r="A11" s="8">
        <v>28</v>
      </c>
      <c r="B11" s="8">
        <v>8</v>
      </c>
    </row>
    <row r="12" spans="1:2" x14ac:dyDescent="0.25">
      <c r="A12" s="8">
        <v>29</v>
      </c>
      <c r="B12" s="8">
        <v>13</v>
      </c>
    </row>
    <row r="13" spans="1:2" x14ac:dyDescent="0.25">
      <c r="A13" s="8">
        <v>30</v>
      </c>
      <c r="B13" s="8">
        <v>6</v>
      </c>
    </row>
    <row r="14" spans="1:2" x14ac:dyDescent="0.25">
      <c r="A14" s="8">
        <v>31</v>
      </c>
      <c r="B14" s="8">
        <v>12</v>
      </c>
    </row>
    <row r="15" spans="1:2" x14ac:dyDescent="0.25">
      <c r="A15" s="8">
        <v>32</v>
      </c>
      <c r="B15" s="8">
        <v>6</v>
      </c>
    </row>
    <row r="16" spans="1:2" x14ac:dyDescent="0.25">
      <c r="A16" s="8">
        <v>33</v>
      </c>
      <c r="B16" s="8">
        <v>5</v>
      </c>
    </row>
    <row r="17" spans="1:2" x14ac:dyDescent="0.25">
      <c r="A17" s="8">
        <v>34</v>
      </c>
      <c r="B17" s="8">
        <v>1</v>
      </c>
    </row>
    <row r="18" spans="1:2" x14ac:dyDescent="0.25">
      <c r="A18" s="8">
        <v>40</v>
      </c>
      <c r="B18" s="8">
        <v>1</v>
      </c>
    </row>
    <row r="19" spans="1:2" x14ac:dyDescent="0.25">
      <c r="A19" s="8" t="s">
        <v>217</v>
      </c>
      <c r="B19" s="8">
        <v>100</v>
      </c>
    </row>
    <row r="24" spans="1:2" x14ac:dyDescent="0.25">
      <c r="A24" s="9" t="s">
        <v>1</v>
      </c>
      <c r="B24" s="8" t="s">
        <v>219</v>
      </c>
    </row>
    <row r="25" spans="1:2" x14ac:dyDescent="0.25">
      <c r="A25" s="8">
        <v>19</v>
      </c>
      <c r="B25" s="10">
        <v>0.01</v>
      </c>
    </row>
    <row r="26" spans="1:2" x14ac:dyDescent="0.25">
      <c r="A26" s="8">
        <v>22</v>
      </c>
      <c r="B26" s="10">
        <v>0.02</v>
      </c>
    </row>
    <row r="27" spans="1:2" x14ac:dyDescent="0.25">
      <c r="A27" s="8">
        <v>23</v>
      </c>
      <c r="B27" s="10">
        <v>0.06</v>
      </c>
    </row>
    <row r="28" spans="1:2" x14ac:dyDescent="0.25">
      <c r="A28" s="8">
        <v>24</v>
      </c>
      <c r="B28" s="10">
        <v>0.05</v>
      </c>
    </row>
    <row r="29" spans="1:2" x14ac:dyDescent="0.25">
      <c r="A29" s="8">
        <v>25</v>
      </c>
      <c r="B29" s="10">
        <v>7.0000000000000007E-2</v>
      </c>
    </row>
    <row r="30" spans="1:2" x14ac:dyDescent="0.25">
      <c r="A30" s="8">
        <v>26</v>
      </c>
      <c r="B30" s="10">
        <v>0.14000000000000001</v>
      </c>
    </row>
    <row r="31" spans="1:2" x14ac:dyDescent="0.25">
      <c r="A31" s="8">
        <v>27</v>
      </c>
      <c r="B31" s="10">
        <v>0.13</v>
      </c>
    </row>
    <row r="32" spans="1:2" x14ac:dyDescent="0.25">
      <c r="A32" s="8">
        <v>28</v>
      </c>
      <c r="B32" s="10">
        <v>0.08</v>
      </c>
    </row>
    <row r="33" spans="1:2" x14ac:dyDescent="0.25">
      <c r="A33" s="8">
        <v>29</v>
      </c>
      <c r="B33" s="10">
        <v>0.13</v>
      </c>
    </row>
    <row r="34" spans="1:2" x14ac:dyDescent="0.25">
      <c r="A34" s="8">
        <v>30</v>
      </c>
      <c r="B34" s="10">
        <v>0.06</v>
      </c>
    </row>
    <row r="35" spans="1:2" x14ac:dyDescent="0.25">
      <c r="A35" s="8">
        <v>31</v>
      </c>
      <c r="B35" s="10">
        <v>0.12</v>
      </c>
    </row>
    <row r="36" spans="1:2" x14ac:dyDescent="0.25">
      <c r="A36" s="8">
        <v>32</v>
      </c>
      <c r="B36" s="10">
        <v>0.06</v>
      </c>
    </row>
    <row r="37" spans="1:2" x14ac:dyDescent="0.25">
      <c r="A37" s="8">
        <v>33</v>
      </c>
      <c r="B37" s="10">
        <v>0.05</v>
      </c>
    </row>
    <row r="38" spans="1:2" x14ac:dyDescent="0.25">
      <c r="A38" s="8">
        <v>34</v>
      </c>
      <c r="B38" s="10">
        <v>0.01</v>
      </c>
    </row>
    <row r="39" spans="1:2" x14ac:dyDescent="0.25">
      <c r="A39" s="8">
        <v>40</v>
      </c>
      <c r="B39" s="10">
        <v>0.01</v>
      </c>
    </row>
    <row r="40" spans="1:2" x14ac:dyDescent="0.25">
      <c r="A40" s="8" t="s">
        <v>217</v>
      </c>
      <c r="B40" s="10">
        <v>1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6ACB-4BEE-4367-9EF2-060920D63496}">
  <dimension ref="A3:O35"/>
  <sheetViews>
    <sheetView topLeftCell="A2" workbookViewId="0">
      <selection activeCell="W29" sqref="W29"/>
    </sheetView>
  </sheetViews>
  <sheetFormatPr defaultRowHeight="15" x14ac:dyDescent="0.25"/>
  <cols>
    <col min="1" max="1" width="20" bestFit="1" customWidth="1"/>
    <col min="2" max="2" width="14.7109375" bestFit="1" customWidth="1"/>
    <col min="14" max="14" width="18.140625" customWidth="1"/>
    <col min="15" max="15" width="20.85546875" customWidth="1"/>
  </cols>
  <sheetData>
    <row r="3" spans="1:2" x14ac:dyDescent="0.25">
      <c r="A3" s="1" t="s">
        <v>214</v>
      </c>
      <c r="B3" t="s">
        <v>219</v>
      </c>
    </row>
    <row r="4" spans="1:2" x14ac:dyDescent="0.25">
      <c r="A4" t="s">
        <v>222</v>
      </c>
      <c r="B4" s="3">
        <v>1</v>
      </c>
    </row>
    <row r="5" spans="1:2" x14ac:dyDescent="0.25">
      <c r="A5" t="s">
        <v>223</v>
      </c>
      <c r="B5" s="3">
        <v>2</v>
      </c>
    </row>
    <row r="6" spans="1:2" x14ac:dyDescent="0.25">
      <c r="A6" t="s">
        <v>224</v>
      </c>
      <c r="B6" s="3">
        <v>12</v>
      </c>
    </row>
    <row r="7" spans="1:2" x14ac:dyDescent="0.25">
      <c r="A7" t="s">
        <v>225</v>
      </c>
      <c r="B7" s="3">
        <v>22</v>
      </c>
    </row>
    <row r="8" spans="1:2" x14ac:dyDescent="0.25">
      <c r="A8" t="s">
        <v>226</v>
      </c>
      <c r="B8" s="3">
        <v>24</v>
      </c>
    </row>
    <row r="9" spans="1:2" x14ac:dyDescent="0.25">
      <c r="A9" t="s">
        <v>227</v>
      </c>
      <c r="B9" s="3">
        <v>16</v>
      </c>
    </row>
    <row r="10" spans="1:2" x14ac:dyDescent="0.25">
      <c r="A10" t="s">
        <v>228</v>
      </c>
      <c r="B10" s="3">
        <v>11</v>
      </c>
    </row>
    <row r="11" spans="1:2" x14ac:dyDescent="0.25">
      <c r="A11" t="s">
        <v>229</v>
      </c>
      <c r="B11" s="3">
        <v>7</v>
      </c>
    </row>
    <row r="12" spans="1:2" x14ac:dyDescent="0.25">
      <c r="A12" t="s">
        <v>230</v>
      </c>
      <c r="B12" s="3">
        <v>2</v>
      </c>
    </row>
    <row r="13" spans="1:2" x14ac:dyDescent="0.25">
      <c r="A13" t="s">
        <v>231</v>
      </c>
      <c r="B13" s="3">
        <v>1</v>
      </c>
    </row>
    <row r="14" spans="1:2" x14ac:dyDescent="0.25">
      <c r="A14" t="s">
        <v>232</v>
      </c>
      <c r="B14" s="3">
        <v>1</v>
      </c>
    </row>
    <row r="15" spans="1:2" x14ac:dyDescent="0.25">
      <c r="A15" t="s">
        <v>233</v>
      </c>
      <c r="B15" s="3">
        <v>1</v>
      </c>
    </row>
    <row r="16" spans="1:2" x14ac:dyDescent="0.25">
      <c r="A16" t="s">
        <v>217</v>
      </c>
      <c r="B16" s="3">
        <v>100</v>
      </c>
    </row>
    <row r="19" spans="1:15" x14ac:dyDescent="0.25">
      <c r="A19" s="1" t="s">
        <v>214</v>
      </c>
      <c r="B19" t="s">
        <v>219</v>
      </c>
    </row>
    <row r="20" spans="1:15" ht="15.75" thickBot="1" x14ac:dyDescent="0.3">
      <c r="A20" t="s">
        <v>222</v>
      </c>
      <c r="B20" s="4">
        <v>0.01</v>
      </c>
    </row>
    <row r="21" spans="1:15" x14ac:dyDescent="0.25">
      <c r="A21" t="s">
        <v>223</v>
      </c>
      <c r="B21" s="4">
        <v>0.02</v>
      </c>
      <c r="N21" s="7" t="s">
        <v>247</v>
      </c>
      <c r="O21" s="7"/>
    </row>
    <row r="22" spans="1:15" x14ac:dyDescent="0.25">
      <c r="A22" t="s">
        <v>224</v>
      </c>
      <c r="B22" s="4">
        <v>0.12</v>
      </c>
      <c r="N22" s="5"/>
      <c r="O22" s="5"/>
    </row>
    <row r="23" spans="1:15" x14ac:dyDescent="0.25">
      <c r="A23" t="s">
        <v>225</v>
      </c>
      <c r="B23" s="4">
        <v>0.22</v>
      </c>
      <c r="N23" s="5" t="s">
        <v>234</v>
      </c>
      <c r="O23" s="5">
        <v>51585000</v>
      </c>
    </row>
    <row r="24" spans="1:15" x14ac:dyDescent="0.25">
      <c r="A24" t="s">
        <v>226</v>
      </c>
      <c r="B24" s="4">
        <v>0.24</v>
      </c>
      <c r="N24" s="5" t="s">
        <v>235</v>
      </c>
      <c r="O24" s="5">
        <v>1962103.784876392</v>
      </c>
    </row>
    <row r="25" spans="1:15" x14ac:dyDescent="0.25">
      <c r="A25" t="s">
        <v>227</v>
      </c>
      <c r="B25" s="4">
        <v>0.16</v>
      </c>
      <c r="N25" s="5" t="s">
        <v>236</v>
      </c>
      <c r="O25" s="5">
        <v>48250000</v>
      </c>
    </row>
    <row r="26" spans="1:15" x14ac:dyDescent="0.25">
      <c r="A26" t="s">
        <v>228</v>
      </c>
      <c r="B26" s="4">
        <v>0.11</v>
      </c>
      <c r="N26" s="5" t="s">
        <v>237</v>
      </c>
      <c r="O26" s="5">
        <v>30000000</v>
      </c>
    </row>
    <row r="27" spans="1:15" x14ac:dyDescent="0.25">
      <c r="A27" t="s">
        <v>229</v>
      </c>
      <c r="B27" s="4">
        <v>7.0000000000000007E-2</v>
      </c>
      <c r="N27" s="5" t="s">
        <v>238</v>
      </c>
      <c r="O27" s="5">
        <v>19621037.84876392</v>
      </c>
    </row>
    <row r="28" spans="1:15" x14ac:dyDescent="0.25">
      <c r="A28" t="s">
        <v>230</v>
      </c>
      <c r="B28" s="4">
        <v>0.02</v>
      </c>
      <c r="N28" s="5" t="s">
        <v>239</v>
      </c>
      <c r="O28" s="5">
        <v>384985126262626.25</v>
      </c>
    </row>
    <row r="29" spans="1:15" x14ac:dyDescent="0.25">
      <c r="A29" t="s">
        <v>231</v>
      </c>
      <c r="B29" s="4">
        <v>0.01</v>
      </c>
      <c r="N29" s="5" t="s">
        <v>240</v>
      </c>
      <c r="O29" s="5">
        <v>1.2593876854582891</v>
      </c>
    </row>
    <row r="30" spans="1:15" x14ac:dyDescent="0.25">
      <c r="A30" t="s">
        <v>232</v>
      </c>
      <c r="B30" s="4">
        <v>0.01</v>
      </c>
      <c r="N30" s="5" t="s">
        <v>241</v>
      </c>
      <c r="O30" s="5">
        <v>0.82076495718299958</v>
      </c>
    </row>
    <row r="31" spans="1:15" x14ac:dyDescent="0.25">
      <c r="A31" t="s">
        <v>233</v>
      </c>
      <c r="B31" s="4">
        <v>0.01</v>
      </c>
      <c r="N31" s="5" t="s">
        <v>242</v>
      </c>
      <c r="O31" s="5">
        <v>114500000</v>
      </c>
    </row>
    <row r="32" spans="1:15" x14ac:dyDescent="0.25">
      <c r="A32" t="s">
        <v>217</v>
      </c>
      <c r="B32" s="4">
        <v>1</v>
      </c>
      <c r="N32" s="5" t="s">
        <v>243</v>
      </c>
      <c r="O32" s="5">
        <v>4000000</v>
      </c>
    </row>
    <row r="33" spans="14:15" x14ac:dyDescent="0.25">
      <c r="N33" s="5" t="s">
        <v>244</v>
      </c>
      <c r="O33" s="5">
        <v>118500000</v>
      </c>
    </row>
    <row r="34" spans="14:15" x14ac:dyDescent="0.25">
      <c r="N34" s="5" t="s">
        <v>245</v>
      </c>
      <c r="O34" s="5">
        <v>5158500000</v>
      </c>
    </row>
    <row r="35" spans="14:15" ht="15.75" thickBot="1" x14ac:dyDescent="0.3">
      <c r="N35" s="6" t="s">
        <v>246</v>
      </c>
      <c r="O35" s="6">
        <v>100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AB5C9-F6A2-4B80-A393-73CAE2E7D335}">
  <dimension ref="A1:O31"/>
  <sheetViews>
    <sheetView workbookViewId="0">
      <selection activeCell="A6" sqref="A6"/>
    </sheetView>
  </sheetViews>
  <sheetFormatPr defaultRowHeight="15" x14ac:dyDescent="0.25"/>
  <cols>
    <col min="1" max="1" width="13.85546875" bestFit="1" customWidth="1"/>
    <col min="2" max="2" width="14.7109375" bestFit="1" customWidth="1"/>
    <col min="14" max="14" width="22.28515625" customWidth="1"/>
    <col min="15" max="15" width="18" customWidth="1"/>
  </cols>
  <sheetData>
    <row r="1" spans="1:2" x14ac:dyDescent="0.25">
      <c r="A1" s="1" t="s">
        <v>215</v>
      </c>
      <c r="B1" t="s">
        <v>219</v>
      </c>
    </row>
    <row r="2" spans="1:2" x14ac:dyDescent="0.25">
      <c r="A2" t="s">
        <v>248</v>
      </c>
      <c r="B2" s="3">
        <v>3</v>
      </c>
    </row>
    <row r="3" spans="1:2" x14ac:dyDescent="0.25">
      <c r="A3" t="s">
        <v>249</v>
      </c>
      <c r="B3" s="3">
        <v>19</v>
      </c>
    </row>
    <row r="4" spans="1:2" x14ac:dyDescent="0.25">
      <c r="A4" t="s">
        <v>250</v>
      </c>
      <c r="B4" s="3">
        <v>23</v>
      </c>
    </row>
    <row r="5" spans="1:2" x14ac:dyDescent="0.25">
      <c r="A5" t="s">
        <v>251</v>
      </c>
      <c r="B5" s="3">
        <v>25</v>
      </c>
    </row>
    <row r="6" spans="1:2" x14ac:dyDescent="0.25">
      <c r="A6" t="s">
        <v>252</v>
      </c>
      <c r="B6" s="3">
        <v>12</v>
      </c>
    </row>
    <row r="7" spans="1:2" x14ac:dyDescent="0.25">
      <c r="A7" t="s">
        <v>253</v>
      </c>
      <c r="B7" s="3">
        <v>8</v>
      </c>
    </row>
    <row r="8" spans="1:2" x14ac:dyDescent="0.25">
      <c r="A8" t="s">
        <v>254</v>
      </c>
      <c r="B8" s="3">
        <v>5</v>
      </c>
    </row>
    <row r="9" spans="1:2" x14ac:dyDescent="0.25">
      <c r="A9" t="s">
        <v>255</v>
      </c>
      <c r="B9" s="3">
        <v>3</v>
      </c>
    </row>
    <row r="10" spans="1:2" x14ac:dyDescent="0.25">
      <c r="A10" t="s">
        <v>256</v>
      </c>
      <c r="B10" s="3">
        <v>2</v>
      </c>
    </row>
    <row r="11" spans="1:2" x14ac:dyDescent="0.25">
      <c r="A11" t="s">
        <v>217</v>
      </c>
      <c r="B11" s="3">
        <v>100</v>
      </c>
    </row>
    <row r="14" spans="1:2" x14ac:dyDescent="0.25">
      <c r="A14" s="1" t="s">
        <v>215</v>
      </c>
      <c r="B14" t="s">
        <v>257</v>
      </c>
    </row>
    <row r="15" spans="1:2" x14ac:dyDescent="0.25">
      <c r="A15" t="s">
        <v>248</v>
      </c>
      <c r="B15" s="4">
        <v>0.03</v>
      </c>
    </row>
    <row r="16" spans="1:2" ht="15.75" thickBot="1" x14ac:dyDescent="0.3">
      <c r="A16" t="s">
        <v>249</v>
      </c>
      <c r="B16" s="4">
        <v>0.19</v>
      </c>
    </row>
    <row r="17" spans="1:15" x14ac:dyDescent="0.25">
      <c r="A17" t="s">
        <v>250</v>
      </c>
      <c r="B17" s="4">
        <v>0.23</v>
      </c>
      <c r="N17" s="7" t="s">
        <v>258</v>
      </c>
      <c r="O17" s="7"/>
    </row>
    <row r="18" spans="1:15" x14ac:dyDescent="0.25">
      <c r="A18" t="s">
        <v>251</v>
      </c>
      <c r="B18" s="4">
        <v>0.25</v>
      </c>
      <c r="N18" s="5"/>
      <c r="O18" s="5"/>
    </row>
    <row r="19" spans="1:15" x14ac:dyDescent="0.25">
      <c r="A19" t="s">
        <v>252</v>
      </c>
      <c r="B19" s="4">
        <v>0.12</v>
      </c>
      <c r="N19" s="5" t="s">
        <v>234</v>
      </c>
      <c r="O19" s="5">
        <v>51585000</v>
      </c>
    </row>
    <row r="20" spans="1:15" x14ac:dyDescent="0.25">
      <c r="A20" t="s">
        <v>253</v>
      </c>
      <c r="B20" s="4">
        <v>0.08</v>
      </c>
      <c r="N20" s="5" t="s">
        <v>235</v>
      </c>
      <c r="O20" s="5">
        <v>1962103.784876392</v>
      </c>
    </row>
    <row r="21" spans="1:15" x14ac:dyDescent="0.25">
      <c r="A21" t="s">
        <v>254</v>
      </c>
      <c r="B21" s="4">
        <v>0.05</v>
      </c>
      <c r="N21" s="5" t="s">
        <v>236</v>
      </c>
      <c r="O21" s="5">
        <v>48250000</v>
      </c>
    </row>
    <row r="22" spans="1:15" x14ac:dyDescent="0.25">
      <c r="A22" t="s">
        <v>255</v>
      </c>
      <c r="B22" s="4">
        <v>0.03</v>
      </c>
      <c r="N22" s="5" t="s">
        <v>237</v>
      </c>
      <c r="O22" s="5">
        <v>30000000</v>
      </c>
    </row>
    <row r="23" spans="1:15" x14ac:dyDescent="0.25">
      <c r="A23" t="s">
        <v>256</v>
      </c>
      <c r="B23" s="4">
        <v>0.02</v>
      </c>
      <c r="N23" s="5" t="s">
        <v>238</v>
      </c>
      <c r="O23" s="5">
        <v>19621037.84876392</v>
      </c>
    </row>
    <row r="24" spans="1:15" x14ac:dyDescent="0.25">
      <c r="A24" t="s">
        <v>217</v>
      </c>
      <c r="B24" s="4">
        <v>1</v>
      </c>
      <c r="N24" s="5" t="s">
        <v>239</v>
      </c>
      <c r="O24" s="5">
        <v>384985126262626.25</v>
      </c>
    </row>
    <row r="25" spans="1:15" x14ac:dyDescent="0.25">
      <c r="N25" s="5" t="s">
        <v>240</v>
      </c>
      <c r="O25" s="5">
        <v>1.2593876854582891</v>
      </c>
    </row>
    <row r="26" spans="1:15" x14ac:dyDescent="0.25">
      <c r="N26" s="5" t="s">
        <v>241</v>
      </c>
      <c r="O26" s="5">
        <v>0.82076495718299958</v>
      </c>
    </row>
    <row r="27" spans="1:15" x14ac:dyDescent="0.25">
      <c r="N27" s="5" t="s">
        <v>242</v>
      </c>
      <c r="O27" s="5">
        <v>114500000</v>
      </c>
    </row>
    <row r="28" spans="1:15" x14ac:dyDescent="0.25">
      <c r="N28" s="5" t="s">
        <v>243</v>
      </c>
      <c r="O28" s="5">
        <v>4000000</v>
      </c>
    </row>
    <row r="29" spans="1:15" x14ac:dyDescent="0.25">
      <c r="N29" s="5" t="s">
        <v>244</v>
      </c>
      <c r="O29" s="5">
        <v>118500000</v>
      </c>
    </row>
    <row r="30" spans="1:15" x14ac:dyDescent="0.25">
      <c r="N30" s="5" t="s">
        <v>245</v>
      </c>
      <c r="O30" s="5">
        <v>5158500000</v>
      </c>
    </row>
    <row r="31" spans="1:15" ht="15.75" thickBot="1" x14ac:dyDescent="0.3">
      <c r="N31" s="6" t="s">
        <v>246</v>
      </c>
      <c r="O31" s="6">
        <v>100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30503-5948-4A9F-8E6F-3BB57FF4304D}">
  <dimension ref="A2:K76"/>
  <sheetViews>
    <sheetView tabSelected="1" topLeftCell="A12" workbookViewId="0">
      <selection activeCell="N26" sqref="N26"/>
    </sheetView>
  </sheetViews>
  <sheetFormatPr defaultRowHeight="15" x14ac:dyDescent="0.25"/>
  <cols>
    <col min="1" max="1" width="20" bestFit="1" customWidth="1"/>
    <col min="2" max="10" width="10" bestFit="1" customWidth="1"/>
    <col min="11" max="11" width="11.28515625" bestFit="1" customWidth="1"/>
    <col min="12" max="16" width="10" bestFit="1" customWidth="1"/>
    <col min="17" max="17" width="11.28515625" bestFit="1" customWidth="1"/>
    <col min="18" max="18" width="3" bestFit="1" customWidth="1"/>
    <col min="19" max="19" width="14" bestFit="1" customWidth="1"/>
    <col min="20" max="20" width="10.85546875" bestFit="1" customWidth="1"/>
    <col min="21" max="21" width="3" bestFit="1" customWidth="1"/>
    <col min="22" max="22" width="14" bestFit="1" customWidth="1"/>
    <col min="23" max="23" width="10.85546875" bestFit="1" customWidth="1"/>
    <col min="24" max="24" width="14" bestFit="1" customWidth="1"/>
    <col min="25" max="25" width="10.85546875" bestFit="1" customWidth="1"/>
    <col min="26" max="26" width="14" bestFit="1" customWidth="1"/>
    <col min="27" max="27" width="10.85546875" bestFit="1" customWidth="1"/>
    <col min="28" max="28" width="14" bestFit="1" customWidth="1"/>
    <col min="29" max="29" width="10.85546875" bestFit="1" customWidth="1"/>
    <col min="30" max="30" width="14" bestFit="1" customWidth="1"/>
    <col min="31" max="31" width="10.85546875" bestFit="1" customWidth="1"/>
    <col min="32" max="32" width="14" bestFit="1" customWidth="1"/>
    <col min="33" max="33" width="10.85546875" bestFit="1" customWidth="1"/>
    <col min="34" max="34" width="3" bestFit="1" customWidth="1"/>
    <col min="35" max="35" width="14" bestFit="1" customWidth="1"/>
    <col min="36" max="36" width="10.85546875" bestFit="1" customWidth="1"/>
    <col min="37" max="37" width="14" bestFit="1" customWidth="1"/>
    <col min="38" max="38" width="10.85546875" bestFit="1" customWidth="1"/>
    <col min="39" max="39" width="3" bestFit="1" customWidth="1"/>
    <col min="40" max="40" width="14" bestFit="1" customWidth="1"/>
    <col min="41" max="41" width="10.85546875" bestFit="1" customWidth="1"/>
    <col min="42" max="43" width="3" bestFit="1" customWidth="1"/>
    <col min="44" max="44" width="14" bestFit="1" customWidth="1"/>
    <col min="45" max="45" width="10.85546875" bestFit="1" customWidth="1"/>
    <col min="46" max="46" width="3" bestFit="1" customWidth="1"/>
    <col min="47" max="47" width="14" bestFit="1" customWidth="1"/>
    <col min="48" max="48" width="10.85546875" bestFit="1" customWidth="1"/>
    <col min="49" max="49" width="3" bestFit="1" customWidth="1"/>
    <col min="50" max="50" width="14" bestFit="1" customWidth="1"/>
    <col min="51" max="51" width="10.85546875" bestFit="1" customWidth="1"/>
    <col min="52" max="52" width="14" bestFit="1" customWidth="1"/>
    <col min="53" max="53" width="10.85546875" bestFit="1" customWidth="1"/>
    <col min="54" max="54" width="14" bestFit="1" customWidth="1"/>
    <col min="55" max="55" width="10.85546875" bestFit="1" customWidth="1"/>
    <col min="56" max="56" width="14" bestFit="1" customWidth="1"/>
    <col min="57" max="57" width="10.85546875" bestFit="1" customWidth="1"/>
    <col min="58" max="58" width="3" bestFit="1" customWidth="1"/>
    <col min="59" max="59" width="14" bestFit="1" customWidth="1"/>
    <col min="60" max="60" width="10.85546875" bestFit="1" customWidth="1"/>
    <col min="61" max="61" width="14" bestFit="1" customWidth="1"/>
    <col min="62" max="62" width="10.85546875" bestFit="1" customWidth="1"/>
    <col min="63" max="65" width="3" bestFit="1" customWidth="1"/>
    <col min="66" max="66" width="14" bestFit="1" customWidth="1"/>
    <col min="67" max="67" width="10.85546875" bestFit="1" customWidth="1"/>
    <col min="68" max="68" width="14" bestFit="1" customWidth="1"/>
    <col min="69" max="69" width="10.85546875" bestFit="1" customWidth="1"/>
    <col min="70" max="70" width="14" bestFit="1" customWidth="1"/>
    <col min="71" max="71" width="10.85546875" bestFit="1" customWidth="1"/>
    <col min="72" max="73" width="3" bestFit="1" customWidth="1"/>
    <col min="74" max="74" width="14" bestFit="1" customWidth="1"/>
    <col min="75" max="75" width="10.85546875" bestFit="1" customWidth="1"/>
    <col min="76" max="76" width="3" bestFit="1" customWidth="1"/>
    <col min="77" max="77" width="14" bestFit="1" customWidth="1"/>
    <col min="78" max="78" width="10.85546875" bestFit="1" customWidth="1"/>
    <col min="79" max="79" width="14" bestFit="1" customWidth="1"/>
    <col min="80" max="80" width="10.85546875" bestFit="1" customWidth="1"/>
    <col min="81" max="81" width="3" bestFit="1" customWidth="1"/>
    <col min="82" max="82" width="14" bestFit="1" customWidth="1"/>
    <col min="83" max="83" width="10.85546875" bestFit="1" customWidth="1"/>
    <col min="84" max="84" width="14" bestFit="1" customWidth="1"/>
    <col min="85" max="85" width="10.85546875" bestFit="1" customWidth="1"/>
    <col min="86" max="86" width="3" bestFit="1" customWidth="1"/>
    <col min="87" max="87" width="14" bestFit="1" customWidth="1"/>
    <col min="88" max="88" width="10.85546875" bestFit="1" customWidth="1"/>
    <col min="89" max="89" width="14" bestFit="1" customWidth="1"/>
    <col min="90" max="90" width="10.85546875" bestFit="1" customWidth="1"/>
    <col min="91" max="91" width="14" bestFit="1" customWidth="1"/>
    <col min="92" max="92" width="10.85546875" bestFit="1" customWidth="1"/>
    <col min="93" max="93" width="14" bestFit="1" customWidth="1"/>
    <col min="94" max="94" width="10.85546875" bestFit="1" customWidth="1"/>
    <col min="95" max="95" width="14" bestFit="1" customWidth="1"/>
    <col min="96" max="96" width="10.85546875" bestFit="1" customWidth="1"/>
    <col min="97" max="97" width="14" bestFit="1" customWidth="1"/>
    <col min="98" max="98" width="10.85546875" bestFit="1" customWidth="1"/>
    <col min="99" max="99" width="3" bestFit="1" customWidth="1"/>
    <col min="100" max="100" width="14" bestFit="1" customWidth="1"/>
    <col min="101" max="101" width="10.85546875" bestFit="1" customWidth="1"/>
    <col min="102" max="102" width="14" bestFit="1" customWidth="1"/>
    <col min="103" max="103" width="10.85546875" bestFit="1" customWidth="1"/>
    <col min="104" max="104" width="14" bestFit="1" customWidth="1"/>
    <col min="105" max="105" width="10.85546875" bestFit="1" customWidth="1"/>
    <col min="106" max="106" width="3" bestFit="1" customWidth="1"/>
    <col min="107" max="107" width="14" bestFit="1" customWidth="1"/>
    <col min="108" max="108" width="10.85546875" bestFit="1" customWidth="1"/>
    <col min="109" max="110" width="3" bestFit="1" customWidth="1"/>
    <col min="111" max="111" width="14" bestFit="1" customWidth="1"/>
    <col min="112" max="112" width="10.85546875" bestFit="1" customWidth="1"/>
    <col min="113" max="113" width="14" bestFit="1" customWidth="1"/>
    <col min="114" max="114" width="10.85546875" bestFit="1" customWidth="1"/>
    <col min="115" max="115" width="14" bestFit="1" customWidth="1"/>
    <col min="116" max="116" width="10.85546875" bestFit="1" customWidth="1"/>
    <col min="117" max="117" width="14" bestFit="1" customWidth="1"/>
    <col min="118" max="118" width="10.85546875" bestFit="1" customWidth="1"/>
    <col min="119" max="119" width="14" bestFit="1" customWidth="1"/>
    <col min="120" max="120" width="10.85546875" bestFit="1" customWidth="1"/>
    <col min="121" max="121" width="14" bestFit="1" customWidth="1"/>
    <col min="122" max="122" width="10.85546875" bestFit="1" customWidth="1"/>
    <col min="123" max="123" width="3" bestFit="1" customWidth="1"/>
    <col min="124" max="124" width="14" bestFit="1" customWidth="1"/>
    <col min="125" max="125" width="10.85546875" bestFit="1" customWidth="1"/>
    <col min="126" max="126" width="14" bestFit="1" customWidth="1"/>
    <col min="127" max="127" width="10.85546875" bestFit="1" customWidth="1"/>
    <col min="128" max="128" width="14" bestFit="1" customWidth="1"/>
    <col min="129" max="129" width="10.85546875" bestFit="1" customWidth="1"/>
    <col min="130" max="130" width="14" bestFit="1" customWidth="1"/>
    <col min="131" max="131" width="10.85546875" bestFit="1" customWidth="1"/>
    <col min="132" max="132" width="14" bestFit="1" customWidth="1"/>
    <col min="133" max="133" width="10.85546875" bestFit="1" customWidth="1"/>
    <col min="134" max="134" width="14" bestFit="1" customWidth="1"/>
    <col min="135" max="135" width="10.85546875" bestFit="1" customWidth="1"/>
    <col min="136" max="136" width="14" bestFit="1" customWidth="1"/>
    <col min="137" max="137" width="10.85546875" bestFit="1" customWidth="1"/>
    <col min="138" max="138" width="3" bestFit="1" customWidth="1"/>
    <col min="139" max="139" width="14" bestFit="1" customWidth="1"/>
    <col min="140" max="140" width="10.85546875" bestFit="1" customWidth="1"/>
    <col min="141" max="141" width="14" bestFit="1" customWidth="1"/>
    <col min="142" max="142" width="10.85546875" bestFit="1" customWidth="1"/>
    <col min="143" max="143" width="14" bestFit="1" customWidth="1"/>
    <col min="144" max="144" width="10.85546875" bestFit="1" customWidth="1"/>
    <col min="145" max="145" width="14" bestFit="1" customWidth="1"/>
    <col min="146" max="146" width="10.85546875" bestFit="1" customWidth="1"/>
    <col min="147" max="147" width="14" bestFit="1" customWidth="1"/>
    <col min="148" max="148" width="10.85546875" bestFit="1" customWidth="1"/>
    <col min="149" max="149" width="14" bestFit="1" customWidth="1"/>
    <col min="150" max="150" width="10.85546875" bestFit="1" customWidth="1"/>
    <col min="151" max="151" width="14" bestFit="1" customWidth="1"/>
    <col min="152" max="152" width="11.85546875" bestFit="1" customWidth="1"/>
    <col min="153" max="153" width="15" bestFit="1" customWidth="1"/>
    <col min="154" max="154" width="11.85546875" bestFit="1" customWidth="1"/>
    <col min="155" max="155" width="15" bestFit="1" customWidth="1"/>
    <col min="156" max="156" width="11.85546875" bestFit="1" customWidth="1"/>
    <col min="157" max="157" width="15" bestFit="1" customWidth="1"/>
    <col min="158" max="158" width="11.28515625" bestFit="1" customWidth="1"/>
  </cols>
  <sheetData>
    <row r="2" spans="1:11" x14ac:dyDescent="0.25">
      <c r="A2" s="1" t="s">
        <v>219</v>
      </c>
      <c r="B2" s="1" t="s">
        <v>220</v>
      </c>
    </row>
    <row r="3" spans="1:11" x14ac:dyDescent="0.25">
      <c r="A3" s="1" t="s">
        <v>214</v>
      </c>
      <c r="B3" t="s">
        <v>261</v>
      </c>
      <c r="C3" t="s">
        <v>262</v>
      </c>
      <c r="D3" t="s">
        <v>263</v>
      </c>
      <c r="E3" t="s">
        <v>264</v>
      </c>
      <c r="F3" t="s">
        <v>265</v>
      </c>
      <c r="G3" t="s">
        <v>266</v>
      </c>
      <c r="H3" t="s">
        <v>267</v>
      </c>
      <c r="I3" t="s">
        <v>268</v>
      </c>
      <c r="J3" t="s">
        <v>269</v>
      </c>
      <c r="K3" t="s">
        <v>217</v>
      </c>
    </row>
    <row r="4" spans="1:11" x14ac:dyDescent="0.25">
      <c r="A4" t="s">
        <v>222</v>
      </c>
      <c r="B4" s="3"/>
      <c r="C4" s="3"/>
      <c r="D4" s="3"/>
      <c r="E4" s="3"/>
      <c r="F4" s="3"/>
      <c r="G4" s="3"/>
      <c r="H4" s="3"/>
      <c r="I4" s="3"/>
      <c r="J4" s="3">
        <v>1</v>
      </c>
      <c r="K4" s="3">
        <v>1</v>
      </c>
    </row>
    <row r="5" spans="1:11" x14ac:dyDescent="0.25">
      <c r="A5" t="s">
        <v>223</v>
      </c>
      <c r="B5" s="3"/>
      <c r="C5" s="3"/>
      <c r="D5" s="3"/>
      <c r="E5" s="3"/>
      <c r="F5" s="3"/>
      <c r="G5" s="3"/>
      <c r="H5" s="3"/>
      <c r="I5" s="3">
        <v>2</v>
      </c>
      <c r="J5" s="3"/>
      <c r="K5" s="3">
        <v>2</v>
      </c>
    </row>
    <row r="6" spans="1:11" x14ac:dyDescent="0.25">
      <c r="A6" t="s">
        <v>224</v>
      </c>
      <c r="B6" s="3"/>
      <c r="C6" s="3"/>
      <c r="D6" s="3"/>
      <c r="E6" s="3"/>
      <c r="F6" s="3">
        <v>1</v>
      </c>
      <c r="G6" s="3">
        <v>2</v>
      </c>
      <c r="H6" s="3">
        <v>6</v>
      </c>
      <c r="I6" s="3">
        <v>3</v>
      </c>
      <c r="J6" s="3"/>
      <c r="K6" s="3">
        <v>12</v>
      </c>
    </row>
    <row r="7" spans="1:11" x14ac:dyDescent="0.25">
      <c r="A7" t="s">
        <v>225</v>
      </c>
      <c r="B7" s="3"/>
      <c r="C7" s="3"/>
      <c r="D7" s="3">
        <v>2</v>
      </c>
      <c r="E7" s="3">
        <v>2</v>
      </c>
      <c r="F7" s="3">
        <v>5</v>
      </c>
      <c r="G7" s="3">
        <v>9</v>
      </c>
      <c r="H7" s="3">
        <v>4</v>
      </c>
      <c r="I7" s="3"/>
      <c r="J7" s="3"/>
      <c r="K7" s="3">
        <v>22</v>
      </c>
    </row>
    <row r="8" spans="1:11" x14ac:dyDescent="0.25">
      <c r="A8" t="s">
        <v>226</v>
      </c>
      <c r="B8" s="3"/>
      <c r="C8" s="3"/>
      <c r="D8" s="3">
        <v>4</v>
      </c>
      <c r="E8" s="3">
        <v>6</v>
      </c>
      <c r="F8" s="3">
        <v>7</v>
      </c>
      <c r="G8" s="3">
        <v>4</v>
      </c>
      <c r="H8" s="3">
        <v>3</v>
      </c>
      <c r="I8" s="3"/>
      <c r="J8" s="3"/>
      <c r="K8" s="3">
        <v>24</v>
      </c>
    </row>
    <row r="9" spans="1:11" x14ac:dyDescent="0.25">
      <c r="A9" t="s">
        <v>227</v>
      </c>
      <c r="B9" s="3"/>
      <c r="C9" s="3">
        <v>2</v>
      </c>
      <c r="D9" s="3">
        <v>3</v>
      </c>
      <c r="E9" s="3">
        <v>4</v>
      </c>
      <c r="F9" s="3">
        <v>3</v>
      </c>
      <c r="G9" s="3">
        <v>2</v>
      </c>
      <c r="H9" s="3">
        <v>2</v>
      </c>
      <c r="I9" s="3"/>
      <c r="J9" s="3"/>
      <c r="K9" s="3">
        <v>16</v>
      </c>
    </row>
    <row r="10" spans="1:11" x14ac:dyDescent="0.25">
      <c r="A10" t="s">
        <v>228</v>
      </c>
      <c r="B10" s="3"/>
      <c r="C10" s="3"/>
      <c r="D10" s="3"/>
      <c r="E10" s="3">
        <v>8</v>
      </c>
      <c r="F10" s="3">
        <v>1</v>
      </c>
      <c r="G10" s="3">
        <v>1</v>
      </c>
      <c r="H10" s="3">
        <v>1</v>
      </c>
      <c r="I10" s="3"/>
      <c r="J10" s="3"/>
      <c r="K10" s="3">
        <v>11</v>
      </c>
    </row>
    <row r="11" spans="1:11" x14ac:dyDescent="0.25">
      <c r="A11" t="s">
        <v>229</v>
      </c>
      <c r="B11" s="3">
        <v>1</v>
      </c>
      <c r="C11" s="3"/>
      <c r="D11" s="3">
        <v>1</v>
      </c>
      <c r="E11" s="3"/>
      <c r="F11" s="3">
        <v>2</v>
      </c>
      <c r="G11" s="3">
        <v>1</v>
      </c>
      <c r="H11" s="3">
        <v>1</v>
      </c>
      <c r="I11" s="3">
        <v>1</v>
      </c>
      <c r="J11" s="3"/>
      <c r="K11" s="3">
        <v>7</v>
      </c>
    </row>
    <row r="12" spans="1:11" x14ac:dyDescent="0.25">
      <c r="A12" t="s">
        <v>230</v>
      </c>
      <c r="B12" s="3"/>
      <c r="C12" s="3"/>
      <c r="D12" s="3">
        <v>1</v>
      </c>
      <c r="E12" s="3"/>
      <c r="F12" s="3">
        <v>1</v>
      </c>
      <c r="G12" s="3"/>
      <c r="H12" s="3"/>
      <c r="I12" s="3"/>
      <c r="J12" s="3"/>
      <c r="K12" s="3">
        <v>2</v>
      </c>
    </row>
    <row r="13" spans="1:11" x14ac:dyDescent="0.25">
      <c r="A13" t="s">
        <v>231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>
        <v>1</v>
      </c>
    </row>
    <row r="14" spans="1:11" x14ac:dyDescent="0.25">
      <c r="A14" t="s">
        <v>232</v>
      </c>
      <c r="B14" s="3"/>
      <c r="C14" s="3"/>
      <c r="D14" s="3"/>
      <c r="E14" s="3"/>
      <c r="F14" s="3"/>
      <c r="G14" s="3"/>
      <c r="H14" s="3">
        <v>1</v>
      </c>
      <c r="I14" s="3"/>
      <c r="J14" s="3"/>
      <c r="K14" s="3">
        <v>1</v>
      </c>
    </row>
    <row r="15" spans="1:11" x14ac:dyDescent="0.25">
      <c r="A15" t="s">
        <v>233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>
        <v>1</v>
      </c>
    </row>
    <row r="16" spans="1:11" x14ac:dyDescent="0.25">
      <c r="A16" t="s">
        <v>217</v>
      </c>
      <c r="B16" s="3">
        <v>1</v>
      </c>
      <c r="C16" s="3">
        <v>2</v>
      </c>
      <c r="D16" s="3">
        <v>11</v>
      </c>
      <c r="E16" s="3">
        <v>21</v>
      </c>
      <c r="F16" s="3">
        <v>21</v>
      </c>
      <c r="G16" s="3">
        <v>19</v>
      </c>
      <c r="H16" s="3">
        <v>18</v>
      </c>
      <c r="I16" s="3">
        <v>6</v>
      </c>
      <c r="J16" s="3">
        <v>1</v>
      </c>
      <c r="K16" s="3">
        <v>100</v>
      </c>
    </row>
    <row r="19" spans="1:11" x14ac:dyDescent="0.25">
      <c r="A19" s="1" t="s">
        <v>219</v>
      </c>
      <c r="B19" s="1" t="s">
        <v>220</v>
      </c>
    </row>
    <row r="20" spans="1:11" x14ac:dyDescent="0.25">
      <c r="A20" s="1" t="s">
        <v>214</v>
      </c>
      <c r="B20" t="s">
        <v>261</v>
      </c>
      <c r="C20" t="s">
        <v>262</v>
      </c>
      <c r="D20" t="s">
        <v>263</v>
      </c>
      <c r="E20" t="s">
        <v>264</v>
      </c>
      <c r="F20" t="s">
        <v>265</v>
      </c>
      <c r="G20" t="s">
        <v>266</v>
      </c>
      <c r="H20" t="s">
        <v>267</v>
      </c>
      <c r="I20" t="s">
        <v>268</v>
      </c>
      <c r="J20" t="s">
        <v>269</v>
      </c>
      <c r="K20" t="s">
        <v>217</v>
      </c>
    </row>
    <row r="21" spans="1:11" x14ac:dyDescent="0.25">
      <c r="A21" t="s">
        <v>222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0.01</v>
      </c>
      <c r="K21" s="4">
        <v>0.01</v>
      </c>
    </row>
    <row r="22" spans="1:11" x14ac:dyDescent="0.25">
      <c r="A22" t="s">
        <v>223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0.02</v>
      </c>
      <c r="J22" s="4">
        <v>0</v>
      </c>
      <c r="K22" s="4">
        <v>0.02</v>
      </c>
    </row>
    <row r="23" spans="1:11" x14ac:dyDescent="0.25">
      <c r="A23" t="s">
        <v>224</v>
      </c>
      <c r="B23" s="4">
        <v>0</v>
      </c>
      <c r="C23" s="4">
        <v>0</v>
      </c>
      <c r="D23" s="4">
        <v>0</v>
      </c>
      <c r="E23" s="4">
        <v>0</v>
      </c>
      <c r="F23" s="4">
        <v>0.01</v>
      </c>
      <c r="G23" s="4">
        <v>0.02</v>
      </c>
      <c r="H23" s="4">
        <v>0.06</v>
      </c>
      <c r="I23" s="4">
        <v>0.03</v>
      </c>
      <c r="J23" s="4">
        <v>0</v>
      </c>
      <c r="K23" s="4">
        <v>0.12</v>
      </c>
    </row>
    <row r="24" spans="1:11" x14ac:dyDescent="0.25">
      <c r="A24" t="s">
        <v>225</v>
      </c>
      <c r="B24" s="4">
        <v>0</v>
      </c>
      <c r="C24" s="4">
        <v>0</v>
      </c>
      <c r="D24" s="4">
        <v>0.02</v>
      </c>
      <c r="E24" s="4">
        <v>0.02</v>
      </c>
      <c r="F24" s="4">
        <v>0.05</v>
      </c>
      <c r="G24" s="4">
        <v>0.09</v>
      </c>
      <c r="H24" s="4">
        <v>0.04</v>
      </c>
      <c r="I24" s="4">
        <v>0</v>
      </c>
      <c r="J24" s="4">
        <v>0</v>
      </c>
      <c r="K24" s="4">
        <v>0.22</v>
      </c>
    </row>
    <row r="25" spans="1:11" x14ac:dyDescent="0.25">
      <c r="A25" t="s">
        <v>226</v>
      </c>
      <c r="B25" s="4">
        <v>0</v>
      </c>
      <c r="C25" s="4">
        <v>0</v>
      </c>
      <c r="D25" s="4">
        <v>0.04</v>
      </c>
      <c r="E25" s="4">
        <v>0.06</v>
      </c>
      <c r="F25" s="4">
        <v>7.0000000000000007E-2</v>
      </c>
      <c r="G25" s="4">
        <v>0.04</v>
      </c>
      <c r="H25" s="4">
        <v>0.03</v>
      </c>
      <c r="I25" s="4">
        <v>0</v>
      </c>
      <c r="J25" s="4">
        <v>0</v>
      </c>
      <c r="K25" s="4">
        <v>0.24</v>
      </c>
    </row>
    <row r="26" spans="1:11" x14ac:dyDescent="0.25">
      <c r="A26" t="s">
        <v>227</v>
      </c>
      <c r="B26" s="4">
        <v>0</v>
      </c>
      <c r="C26" s="4">
        <v>0.02</v>
      </c>
      <c r="D26" s="4">
        <v>0.03</v>
      </c>
      <c r="E26" s="4">
        <v>0.04</v>
      </c>
      <c r="F26" s="4">
        <v>0.03</v>
      </c>
      <c r="G26" s="4">
        <v>0.02</v>
      </c>
      <c r="H26" s="4">
        <v>0.02</v>
      </c>
      <c r="I26" s="4">
        <v>0</v>
      </c>
      <c r="J26" s="4">
        <v>0</v>
      </c>
      <c r="K26" s="4">
        <v>0.16</v>
      </c>
    </row>
    <row r="27" spans="1:11" x14ac:dyDescent="0.25">
      <c r="A27" t="s">
        <v>228</v>
      </c>
      <c r="B27" s="4">
        <v>0</v>
      </c>
      <c r="C27" s="4">
        <v>0</v>
      </c>
      <c r="D27" s="4">
        <v>0</v>
      </c>
      <c r="E27" s="4">
        <v>0.08</v>
      </c>
      <c r="F27" s="4">
        <v>0.01</v>
      </c>
      <c r="G27" s="4">
        <v>0.01</v>
      </c>
      <c r="H27" s="4">
        <v>0.01</v>
      </c>
      <c r="I27" s="4">
        <v>0</v>
      </c>
      <c r="J27" s="4">
        <v>0</v>
      </c>
      <c r="K27" s="4">
        <v>0.11</v>
      </c>
    </row>
    <row r="28" spans="1:11" x14ac:dyDescent="0.25">
      <c r="A28" t="s">
        <v>229</v>
      </c>
      <c r="B28" s="4">
        <v>0.01</v>
      </c>
      <c r="C28" s="4">
        <v>0</v>
      </c>
      <c r="D28" s="4">
        <v>0.01</v>
      </c>
      <c r="E28" s="4">
        <v>0</v>
      </c>
      <c r="F28" s="4">
        <v>0.02</v>
      </c>
      <c r="G28" s="4">
        <v>0.01</v>
      </c>
      <c r="H28" s="4">
        <v>0.01</v>
      </c>
      <c r="I28" s="4">
        <v>0.01</v>
      </c>
      <c r="J28" s="4">
        <v>0</v>
      </c>
      <c r="K28" s="4">
        <v>7.0000000000000007E-2</v>
      </c>
    </row>
    <row r="29" spans="1:11" x14ac:dyDescent="0.25">
      <c r="A29" t="s">
        <v>230</v>
      </c>
      <c r="B29" s="4">
        <v>0</v>
      </c>
      <c r="C29" s="4">
        <v>0</v>
      </c>
      <c r="D29" s="4">
        <v>0.01</v>
      </c>
      <c r="E29" s="4">
        <v>0</v>
      </c>
      <c r="F29" s="4">
        <v>0.01</v>
      </c>
      <c r="G29" s="4">
        <v>0</v>
      </c>
      <c r="H29" s="4">
        <v>0</v>
      </c>
      <c r="I29" s="4">
        <v>0</v>
      </c>
      <c r="J29" s="4">
        <v>0</v>
      </c>
      <c r="K29" s="4">
        <v>0.02</v>
      </c>
    </row>
    <row r="30" spans="1:11" x14ac:dyDescent="0.25">
      <c r="A30" t="s">
        <v>231</v>
      </c>
      <c r="B30" s="4">
        <v>0</v>
      </c>
      <c r="C30" s="4">
        <v>0</v>
      </c>
      <c r="D30" s="4">
        <v>0</v>
      </c>
      <c r="E30" s="4">
        <v>0</v>
      </c>
      <c r="F30" s="4">
        <v>0.01</v>
      </c>
      <c r="G30" s="4">
        <v>0</v>
      </c>
      <c r="H30" s="4">
        <v>0</v>
      </c>
      <c r="I30" s="4">
        <v>0</v>
      </c>
      <c r="J30" s="4">
        <v>0</v>
      </c>
      <c r="K30" s="4">
        <v>0.01</v>
      </c>
    </row>
    <row r="31" spans="1:11" x14ac:dyDescent="0.25">
      <c r="A31" t="s">
        <v>232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0.01</v>
      </c>
      <c r="I31" s="4">
        <v>0</v>
      </c>
      <c r="J31" s="4">
        <v>0</v>
      </c>
      <c r="K31" s="4">
        <v>0.01</v>
      </c>
    </row>
    <row r="32" spans="1:11" x14ac:dyDescent="0.25">
      <c r="A32" t="s">
        <v>233</v>
      </c>
      <c r="B32" s="4">
        <v>0</v>
      </c>
      <c r="C32" s="4">
        <v>0</v>
      </c>
      <c r="D32" s="4">
        <v>0</v>
      </c>
      <c r="E32" s="4">
        <v>0.01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0.01</v>
      </c>
    </row>
    <row r="33" spans="1:11" x14ac:dyDescent="0.25">
      <c r="A33" t="s">
        <v>217</v>
      </c>
      <c r="B33" s="4">
        <v>0.01</v>
      </c>
      <c r="C33" s="4">
        <v>0.02</v>
      </c>
      <c r="D33" s="4">
        <v>0.11</v>
      </c>
      <c r="E33" s="4">
        <v>0.21</v>
      </c>
      <c r="F33" s="4">
        <v>0.21</v>
      </c>
      <c r="G33" s="4">
        <v>0.19</v>
      </c>
      <c r="H33" s="4">
        <v>0.18</v>
      </c>
      <c r="I33" s="4">
        <v>0.06</v>
      </c>
      <c r="J33" s="4">
        <v>0.01</v>
      </c>
      <c r="K33" s="4">
        <v>1</v>
      </c>
    </row>
    <row r="62" spans="1:11" x14ac:dyDescent="0.25">
      <c r="A62" s="9" t="s">
        <v>219</v>
      </c>
      <c r="B62" s="9" t="s">
        <v>220</v>
      </c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25">
      <c r="A63" s="9" t="s">
        <v>214</v>
      </c>
      <c r="B63" s="8" t="s">
        <v>261</v>
      </c>
      <c r="C63" s="8" t="s">
        <v>262</v>
      </c>
      <c r="D63" s="8" t="s">
        <v>263</v>
      </c>
      <c r="E63" s="8" t="s">
        <v>264</v>
      </c>
      <c r="F63" s="8" t="s">
        <v>265</v>
      </c>
      <c r="G63" s="8" t="s">
        <v>266</v>
      </c>
      <c r="H63" s="8" t="s">
        <v>267</v>
      </c>
      <c r="I63" s="8" t="s">
        <v>268</v>
      </c>
      <c r="J63" s="8" t="s">
        <v>269</v>
      </c>
      <c r="K63" s="8" t="s">
        <v>217</v>
      </c>
    </row>
    <row r="64" spans="1:11" x14ac:dyDescent="0.25">
      <c r="A64" s="8" t="s">
        <v>222</v>
      </c>
      <c r="B64" s="3"/>
      <c r="C64" s="3"/>
      <c r="D64" s="3"/>
      <c r="E64" s="3"/>
      <c r="F64" s="3"/>
      <c r="G64" s="3"/>
      <c r="H64" s="3"/>
      <c r="I64" s="3"/>
      <c r="J64" s="3">
        <v>1</v>
      </c>
      <c r="K64" s="3">
        <v>1</v>
      </c>
    </row>
    <row r="65" spans="1:11" x14ac:dyDescent="0.25">
      <c r="A65" s="8" t="s">
        <v>223</v>
      </c>
      <c r="B65" s="3"/>
      <c r="C65" s="3"/>
      <c r="D65" s="3"/>
      <c r="E65" s="3"/>
      <c r="F65" s="3"/>
      <c r="G65" s="3"/>
      <c r="H65" s="3"/>
      <c r="I65" s="3">
        <v>2</v>
      </c>
      <c r="J65" s="3"/>
      <c r="K65" s="3">
        <v>2</v>
      </c>
    </row>
    <row r="66" spans="1:11" x14ac:dyDescent="0.25">
      <c r="A66" s="8" t="s">
        <v>224</v>
      </c>
      <c r="B66" s="3"/>
      <c r="C66" s="3"/>
      <c r="D66" s="3"/>
      <c r="E66" s="3"/>
      <c r="F66" s="3">
        <v>1</v>
      </c>
      <c r="G66" s="3">
        <v>2</v>
      </c>
      <c r="H66" s="3">
        <v>6</v>
      </c>
      <c r="I66" s="3">
        <v>3</v>
      </c>
      <c r="J66" s="3"/>
      <c r="K66" s="3">
        <v>12</v>
      </c>
    </row>
    <row r="67" spans="1:11" x14ac:dyDescent="0.25">
      <c r="A67" s="8" t="s">
        <v>225</v>
      </c>
      <c r="B67" s="3"/>
      <c r="C67" s="3"/>
      <c r="D67" s="3">
        <v>2</v>
      </c>
      <c r="E67" s="3">
        <v>2</v>
      </c>
      <c r="F67" s="3">
        <v>5</v>
      </c>
      <c r="G67" s="3">
        <v>9</v>
      </c>
      <c r="H67" s="3">
        <v>4</v>
      </c>
      <c r="I67" s="3"/>
      <c r="J67" s="3"/>
      <c r="K67" s="3">
        <v>22</v>
      </c>
    </row>
    <row r="68" spans="1:11" x14ac:dyDescent="0.25">
      <c r="A68" s="8" t="s">
        <v>226</v>
      </c>
      <c r="B68" s="3"/>
      <c r="C68" s="3"/>
      <c r="D68" s="3">
        <v>4</v>
      </c>
      <c r="E68" s="3">
        <v>6</v>
      </c>
      <c r="F68" s="3">
        <v>7</v>
      </c>
      <c r="G68" s="3">
        <v>4</v>
      </c>
      <c r="H68" s="3">
        <v>3</v>
      </c>
      <c r="I68" s="3"/>
      <c r="J68" s="3"/>
      <c r="K68" s="3">
        <v>24</v>
      </c>
    </row>
    <row r="69" spans="1:11" x14ac:dyDescent="0.25">
      <c r="A69" s="8" t="s">
        <v>227</v>
      </c>
      <c r="B69" s="3"/>
      <c r="C69" s="3">
        <v>2</v>
      </c>
      <c r="D69" s="3">
        <v>3</v>
      </c>
      <c r="E69" s="3">
        <v>4</v>
      </c>
      <c r="F69" s="3">
        <v>3</v>
      </c>
      <c r="G69" s="3">
        <v>2</v>
      </c>
      <c r="H69" s="3">
        <v>2</v>
      </c>
      <c r="I69" s="3"/>
      <c r="J69" s="3"/>
      <c r="K69" s="3">
        <v>16</v>
      </c>
    </row>
    <row r="70" spans="1:11" x14ac:dyDescent="0.25">
      <c r="A70" s="8" t="s">
        <v>228</v>
      </c>
      <c r="B70" s="3"/>
      <c r="C70" s="3"/>
      <c r="D70" s="3"/>
      <c r="E70" s="3">
        <v>8</v>
      </c>
      <c r="F70" s="3">
        <v>1</v>
      </c>
      <c r="G70" s="3">
        <v>1</v>
      </c>
      <c r="H70" s="3">
        <v>1</v>
      </c>
      <c r="I70" s="3"/>
      <c r="J70" s="3"/>
      <c r="K70" s="3">
        <v>11</v>
      </c>
    </row>
    <row r="71" spans="1:11" x14ac:dyDescent="0.25">
      <c r="A71" s="8" t="s">
        <v>229</v>
      </c>
      <c r="B71" s="3">
        <v>1</v>
      </c>
      <c r="C71" s="3"/>
      <c r="D71" s="3">
        <v>1</v>
      </c>
      <c r="E71" s="3"/>
      <c r="F71" s="3">
        <v>2</v>
      </c>
      <c r="G71" s="3">
        <v>1</v>
      </c>
      <c r="H71" s="3">
        <v>1</v>
      </c>
      <c r="I71" s="3">
        <v>1</v>
      </c>
      <c r="J71" s="3"/>
      <c r="K71" s="3">
        <v>7</v>
      </c>
    </row>
    <row r="72" spans="1:11" x14ac:dyDescent="0.25">
      <c r="A72" s="8" t="s">
        <v>230</v>
      </c>
      <c r="B72" s="3"/>
      <c r="C72" s="3"/>
      <c r="D72" s="3">
        <v>1</v>
      </c>
      <c r="E72" s="3"/>
      <c r="F72" s="3">
        <v>1</v>
      </c>
      <c r="G72" s="3"/>
      <c r="H72" s="3"/>
      <c r="I72" s="3"/>
      <c r="J72" s="3"/>
      <c r="K72" s="3">
        <v>2</v>
      </c>
    </row>
    <row r="73" spans="1:11" x14ac:dyDescent="0.25">
      <c r="A73" s="8" t="s">
        <v>231</v>
      </c>
      <c r="B73" s="3"/>
      <c r="C73" s="3"/>
      <c r="D73" s="3"/>
      <c r="E73" s="3"/>
      <c r="F73" s="3">
        <v>1</v>
      </c>
      <c r="G73" s="3"/>
      <c r="H73" s="3"/>
      <c r="I73" s="3"/>
      <c r="J73" s="3"/>
      <c r="K73" s="3">
        <v>1</v>
      </c>
    </row>
    <row r="74" spans="1:11" x14ac:dyDescent="0.25">
      <c r="A74" s="8" t="s">
        <v>232</v>
      </c>
      <c r="B74" s="3"/>
      <c r="C74" s="3"/>
      <c r="D74" s="3"/>
      <c r="E74" s="3"/>
      <c r="F74" s="3"/>
      <c r="G74" s="3"/>
      <c r="H74" s="3">
        <v>1</v>
      </c>
      <c r="I74" s="3"/>
      <c r="J74" s="3"/>
      <c r="K74" s="3">
        <v>1</v>
      </c>
    </row>
    <row r="75" spans="1:11" x14ac:dyDescent="0.25">
      <c r="A75" s="8" t="s">
        <v>233</v>
      </c>
      <c r="B75" s="3"/>
      <c r="C75" s="3"/>
      <c r="D75" s="3"/>
      <c r="E75" s="3">
        <v>1</v>
      </c>
      <c r="F75" s="3"/>
      <c r="G75" s="3"/>
      <c r="H75" s="3"/>
      <c r="I75" s="3"/>
      <c r="J75" s="3"/>
      <c r="K75" s="3">
        <v>1</v>
      </c>
    </row>
    <row r="76" spans="1:11" x14ac:dyDescent="0.25">
      <c r="A76" s="8" t="s">
        <v>217</v>
      </c>
      <c r="B76" s="3">
        <v>1</v>
      </c>
      <c r="C76" s="3">
        <v>2</v>
      </c>
      <c r="D76" s="3">
        <v>11</v>
      </c>
      <c r="E76" s="3">
        <v>21</v>
      </c>
      <c r="F76" s="3">
        <v>21</v>
      </c>
      <c r="G76" s="3">
        <v>19</v>
      </c>
      <c r="H76" s="3">
        <v>18</v>
      </c>
      <c r="I76" s="3">
        <v>6</v>
      </c>
      <c r="J76" s="3">
        <v>1</v>
      </c>
      <c r="K76" s="3">
        <v>100</v>
      </c>
    </row>
  </sheetData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DC7C0-031D-4A50-A9A2-4B163AF01036}">
  <dimension ref="A4:K29"/>
  <sheetViews>
    <sheetView topLeftCell="A10" workbookViewId="0">
      <selection activeCell="M35" sqref="M35"/>
    </sheetView>
  </sheetViews>
  <sheetFormatPr defaultRowHeight="15" x14ac:dyDescent="0.25"/>
  <cols>
    <col min="1" max="1" width="31.5703125" bestFit="1" customWidth="1"/>
    <col min="2" max="10" width="13.85546875" bestFit="1" customWidth="1"/>
    <col min="11" max="11" width="11.28515625" bestFit="1" customWidth="1"/>
    <col min="12" max="24" width="32" bestFit="1" customWidth="1"/>
    <col min="25" max="25" width="11.28515625" bestFit="1" customWidth="1"/>
    <col min="26" max="26" width="13.7109375" bestFit="1" customWidth="1"/>
    <col min="27" max="27" width="33.85546875" bestFit="1" customWidth="1"/>
    <col min="28" max="28" width="37" bestFit="1" customWidth="1"/>
    <col min="29" max="30" width="13.85546875" bestFit="1" customWidth="1"/>
    <col min="31" max="31" width="10.140625" bestFit="1" customWidth="1"/>
    <col min="32" max="34" width="13.85546875" bestFit="1" customWidth="1"/>
    <col min="35" max="35" width="14" bestFit="1" customWidth="1"/>
    <col min="36" max="36" width="12.7109375" bestFit="1" customWidth="1"/>
    <col min="37" max="37" width="10.42578125" bestFit="1" customWidth="1"/>
    <col min="38" max="41" width="13.85546875" bestFit="1" customWidth="1"/>
    <col min="42" max="42" width="14.42578125" bestFit="1" customWidth="1"/>
    <col min="43" max="46" width="17.7109375" bestFit="1" customWidth="1"/>
    <col min="47" max="47" width="20.85546875" bestFit="1" customWidth="1"/>
    <col min="48" max="49" width="20.140625" bestFit="1" customWidth="1"/>
    <col min="50" max="50" width="23.28515625" bestFit="1" customWidth="1"/>
    <col min="51" max="51" width="13.85546875" bestFit="1" customWidth="1"/>
    <col min="52" max="52" width="10.7109375" bestFit="1" customWidth="1"/>
    <col min="53" max="54" width="13.85546875" bestFit="1" customWidth="1"/>
    <col min="55" max="55" width="11.7109375" bestFit="1" customWidth="1"/>
    <col min="56" max="56" width="21.42578125" bestFit="1" customWidth="1"/>
    <col min="57" max="57" width="24.5703125" bestFit="1" customWidth="1"/>
    <col min="58" max="61" width="21" bestFit="1" customWidth="1"/>
    <col min="62" max="62" width="24.140625" bestFit="1" customWidth="1"/>
    <col min="63" max="67" width="13.85546875" bestFit="1" customWidth="1"/>
    <col min="68" max="68" width="16.5703125" bestFit="1" customWidth="1"/>
    <col min="69" max="69" width="12.7109375" bestFit="1" customWidth="1"/>
    <col min="70" max="70" width="11" bestFit="1" customWidth="1"/>
    <col min="71" max="72" width="20.5703125" bestFit="1" customWidth="1"/>
    <col min="73" max="73" width="23.7109375" bestFit="1" customWidth="1"/>
    <col min="74" max="74" width="13.28515625" bestFit="1" customWidth="1"/>
    <col min="75" max="75" width="16.42578125" bestFit="1" customWidth="1"/>
    <col min="76" max="76" width="13.28515625" bestFit="1" customWidth="1"/>
    <col min="77" max="77" width="16.42578125" bestFit="1" customWidth="1"/>
    <col min="78" max="78" width="11.28515625" bestFit="1" customWidth="1"/>
  </cols>
  <sheetData>
    <row r="4" spans="1:11" x14ac:dyDescent="0.25">
      <c r="A4" s="1" t="s">
        <v>219</v>
      </c>
      <c r="B4" s="1" t="s">
        <v>215</v>
      </c>
    </row>
    <row r="5" spans="1:11" x14ac:dyDescent="0.25">
      <c r="A5" s="1" t="s">
        <v>221</v>
      </c>
      <c r="B5" t="s">
        <v>248</v>
      </c>
      <c r="C5" t="s">
        <v>249</v>
      </c>
      <c r="D5" t="s">
        <v>250</v>
      </c>
      <c r="E5" t="s">
        <v>251</v>
      </c>
      <c r="F5" t="s">
        <v>252</v>
      </c>
      <c r="G5" t="s">
        <v>253</v>
      </c>
      <c r="H5" t="s">
        <v>254</v>
      </c>
      <c r="I5" t="s">
        <v>255</v>
      </c>
      <c r="J5" t="s">
        <v>256</v>
      </c>
      <c r="K5" t="s">
        <v>217</v>
      </c>
    </row>
    <row r="6" spans="1:11" x14ac:dyDescent="0.25">
      <c r="A6" t="s">
        <v>119</v>
      </c>
      <c r="B6" s="3"/>
      <c r="C6" s="3"/>
      <c r="D6" s="3"/>
      <c r="E6" s="3">
        <v>2</v>
      </c>
      <c r="F6" s="3">
        <v>1</v>
      </c>
      <c r="G6" s="3"/>
      <c r="H6" s="3"/>
      <c r="I6" s="3"/>
      <c r="J6" s="3"/>
      <c r="K6" s="3">
        <v>3</v>
      </c>
    </row>
    <row r="7" spans="1:11" x14ac:dyDescent="0.25">
      <c r="A7" t="s">
        <v>72</v>
      </c>
      <c r="B7" s="3"/>
      <c r="C7" s="3">
        <v>3</v>
      </c>
      <c r="D7" s="3">
        <v>2</v>
      </c>
      <c r="E7" s="3"/>
      <c r="F7" s="3"/>
      <c r="G7" s="3"/>
      <c r="H7" s="3"/>
      <c r="I7" s="3"/>
      <c r="J7" s="3"/>
      <c r="K7" s="3">
        <v>5</v>
      </c>
    </row>
    <row r="8" spans="1:11" x14ac:dyDescent="0.25">
      <c r="A8" t="s">
        <v>168</v>
      </c>
      <c r="B8" s="3"/>
      <c r="C8" s="3">
        <v>1</v>
      </c>
      <c r="D8" s="3"/>
      <c r="E8" s="3"/>
      <c r="F8" s="3"/>
      <c r="G8" s="3"/>
      <c r="H8" s="3"/>
      <c r="I8" s="3"/>
      <c r="J8" s="3"/>
      <c r="K8" s="3">
        <v>1</v>
      </c>
    </row>
    <row r="9" spans="1:11" x14ac:dyDescent="0.25">
      <c r="A9" t="s">
        <v>60</v>
      </c>
      <c r="B9" s="3"/>
      <c r="C9" s="3"/>
      <c r="D9" s="3"/>
      <c r="E9" s="3">
        <v>1</v>
      </c>
      <c r="F9" s="3">
        <v>1</v>
      </c>
      <c r="G9" s="3"/>
      <c r="H9" s="3">
        <v>1</v>
      </c>
      <c r="I9" s="3"/>
      <c r="J9" s="3"/>
      <c r="K9" s="3">
        <v>3</v>
      </c>
    </row>
    <row r="10" spans="1:11" x14ac:dyDescent="0.25">
      <c r="A10" t="s">
        <v>41</v>
      </c>
      <c r="B10" s="3"/>
      <c r="C10" s="3"/>
      <c r="D10" s="3"/>
      <c r="E10" s="3">
        <v>2</v>
      </c>
      <c r="F10" s="3">
        <v>4</v>
      </c>
      <c r="G10" s="3">
        <v>1</v>
      </c>
      <c r="H10" s="3">
        <v>1</v>
      </c>
      <c r="I10" s="3"/>
      <c r="J10" s="3">
        <v>2</v>
      </c>
      <c r="K10" s="3">
        <v>10</v>
      </c>
    </row>
    <row r="11" spans="1:11" x14ac:dyDescent="0.25">
      <c r="A11" t="s">
        <v>75</v>
      </c>
      <c r="B11" s="3"/>
      <c r="C11" s="3">
        <v>3</v>
      </c>
      <c r="D11" s="3">
        <v>4</v>
      </c>
      <c r="E11" s="3">
        <v>1</v>
      </c>
      <c r="F11" s="3"/>
      <c r="G11" s="3">
        <v>1</v>
      </c>
      <c r="H11" s="3"/>
      <c r="I11" s="3"/>
      <c r="J11" s="3"/>
      <c r="K11" s="3">
        <v>9</v>
      </c>
    </row>
    <row r="12" spans="1:11" x14ac:dyDescent="0.25">
      <c r="A12" t="s">
        <v>208</v>
      </c>
      <c r="B12" s="3">
        <v>1</v>
      </c>
      <c r="C12" s="3"/>
      <c r="D12" s="3"/>
      <c r="E12" s="3"/>
      <c r="F12" s="3"/>
      <c r="G12" s="3"/>
      <c r="H12" s="3"/>
      <c r="I12" s="3"/>
      <c r="J12" s="3"/>
      <c r="K12" s="3">
        <v>1</v>
      </c>
    </row>
    <row r="13" spans="1:11" x14ac:dyDescent="0.25">
      <c r="A13" t="s">
        <v>203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>
        <v>1</v>
      </c>
    </row>
    <row r="14" spans="1:11" x14ac:dyDescent="0.25">
      <c r="A14" t="s">
        <v>131</v>
      </c>
      <c r="B14" s="3"/>
      <c r="C14" s="3">
        <v>3</v>
      </c>
      <c r="D14" s="3">
        <v>1</v>
      </c>
      <c r="E14" s="3"/>
      <c r="F14" s="3"/>
      <c r="G14" s="3"/>
      <c r="H14" s="3"/>
      <c r="I14" s="3"/>
      <c r="J14" s="3"/>
      <c r="K14" s="3">
        <v>4</v>
      </c>
    </row>
    <row r="15" spans="1:11" x14ac:dyDescent="0.25">
      <c r="A15" t="s">
        <v>45</v>
      </c>
      <c r="B15" s="3"/>
      <c r="C15" s="3"/>
      <c r="D15" s="3">
        <v>5</v>
      </c>
      <c r="E15" s="3">
        <v>4</v>
      </c>
      <c r="F15" s="3"/>
      <c r="G15" s="3"/>
      <c r="H15" s="3"/>
      <c r="I15" s="3">
        <v>1</v>
      </c>
      <c r="J15" s="3"/>
      <c r="K15" s="3">
        <v>10</v>
      </c>
    </row>
    <row r="16" spans="1:11" x14ac:dyDescent="0.25">
      <c r="A16" t="s">
        <v>143</v>
      </c>
      <c r="B16" s="3"/>
      <c r="C16" s="3">
        <v>2</v>
      </c>
      <c r="D16" s="3"/>
      <c r="E16" s="3"/>
      <c r="F16" s="3"/>
      <c r="G16" s="3"/>
      <c r="H16" s="3"/>
      <c r="I16" s="3"/>
      <c r="J16" s="3"/>
      <c r="K16" s="3">
        <v>2</v>
      </c>
    </row>
    <row r="17" spans="1:11" x14ac:dyDescent="0.25">
      <c r="A17" t="s">
        <v>106</v>
      </c>
      <c r="B17" s="3"/>
      <c r="C17" s="3">
        <v>1</v>
      </c>
      <c r="D17" s="3">
        <v>1</v>
      </c>
      <c r="E17" s="3">
        <v>2</v>
      </c>
      <c r="F17" s="3">
        <v>1</v>
      </c>
      <c r="G17" s="3"/>
      <c r="H17" s="3"/>
      <c r="I17" s="3"/>
      <c r="J17" s="3"/>
      <c r="K17" s="3">
        <v>5</v>
      </c>
    </row>
    <row r="18" spans="1:11" x14ac:dyDescent="0.25">
      <c r="A18" t="s">
        <v>57</v>
      </c>
      <c r="B18" s="3"/>
      <c r="C18" s="3"/>
      <c r="D18" s="3">
        <v>2</v>
      </c>
      <c r="E18" s="3">
        <v>5</v>
      </c>
      <c r="F18" s="3"/>
      <c r="G18" s="3">
        <v>2</v>
      </c>
      <c r="H18" s="3">
        <v>1</v>
      </c>
      <c r="I18" s="3"/>
      <c r="J18" s="3"/>
      <c r="K18" s="3">
        <v>10</v>
      </c>
    </row>
    <row r="19" spans="1:11" x14ac:dyDescent="0.25">
      <c r="A19" t="s">
        <v>53</v>
      </c>
      <c r="B19" s="3"/>
      <c r="C19" s="3"/>
      <c r="D19" s="3"/>
      <c r="E19" s="3">
        <v>2</v>
      </c>
      <c r="F19" s="3">
        <v>2</v>
      </c>
      <c r="G19" s="3"/>
      <c r="H19" s="3"/>
      <c r="I19" s="3"/>
      <c r="J19" s="3"/>
      <c r="K19" s="3">
        <v>4</v>
      </c>
    </row>
    <row r="20" spans="1:11" x14ac:dyDescent="0.25">
      <c r="A20" t="s">
        <v>128</v>
      </c>
      <c r="B20" s="3"/>
      <c r="C20" s="3"/>
      <c r="D20" s="3"/>
      <c r="E20" s="3"/>
      <c r="F20" s="3">
        <v>1</v>
      </c>
      <c r="G20" s="3"/>
      <c r="H20" s="3"/>
      <c r="I20" s="3"/>
      <c r="J20" s="3"/>
      <c r="K20" s="3">
        <v>1</v>
      </c>
    </row>
    <row r="21" spans="1:11" x14ac:dyDescent="0.25">
      <c r="A21" t="s">
        <v>112</v>
      </c>
      <c r="B21" s="3"/>
      <c r="C21" s="3">
        <v>1</v>
      </c>
      <c r="D21" s="3">
        <v>3</v>
      </c>
      <c r="E21" s="3"/>
      <c r="F21" s="3"/>
      <c r="G21" s="3"/>
      <c r="H21" s="3"/>
      <c r="I21" s="3"/>
      <c r="J21" s="3"/>
      <c r="K21" s="3">
        <v>4</v>
      </c>
    </row>
    <row r="22" spans="1:11" x14ac:dyDescent="0.25">
      <c r="A22" t="s">
        <v>186</v>
      </c>
      <c r="B22" s="3"/>
      <c r="C22" s="3">
        <v>1</v>
      </c>
      <c r="D22" s="3"/>
      <c r="E22" s="3"/>
      <c r="F22" s="3"/>
      <c r="G22" s="3"/>
      <c r="H22" s="3"/>
      <c r="I22" s="3"/>
      <c r="J22" s="3"/>
      <c r="K22" s="3">
        <v>1</v>
      </c>
    </row>
    <row r="23" spans="1:11" x14ac:dyDescent="0.25">
      <c r="A23" t="s">
        <v>49</v>
      </c>
      <c r="B23" s="3"/>
      <c r="C23" s="3">
        <v>2</v>
      </c>
      <c r="D23" s="3">
        <v>2</v>
      </c>
      <c r="E23" s="3">
        <v>1</v>
      </c>
      <c r="F23" s="3"/>
      <c r="G23" s="3">
        <v>1</v>
      </c>
      <c r="H23" s="3"/>
      <c r="I23" s="3"/>
      <c r="J23" s="3"/>
      <c r="K23" s="3">
        <v>6</v>
      </c>
    </row>
    <row r="24" spans="1:11" x14ac:dyDescent="0.25">
      <c r="A24" t="s">
        <v>64</v>
      </c>
      <c r="B24" s="3"/>
      <c r="C24" s="3"/>
      <c r="D24" s="3"/>
      <c r="E24" s="3">
        <v>3</v>
      </c>
      <c r="F24" s="3">
        <v>1</v>
      </c>
      <c r="G24" s="3">
        <v>3</v>
      </c>
      <c r="H24" s="3">
        <v>2</v>
      </c>
      <c r="I24" s="3">
        <v>2</v>
      </c>
      <c r="J24" s="3"/>
      <c r="K24" s="3">
        <v>11</v>
      </c>
    </row>
    <row r="25" spans="1:11" x14ac:dyDescent="0.25">
      <c r="A25" t="s">
        <v>198</v>
      </c>
      <c r="B25" s="3"/>
      <c r="C25" s="3">
        <v>2</v>
      </c>
      <c r="D25" s="3"/>
      <c r="E25" s="3"/>
      <c r="F25" s="3"/>
      <c r="G25" s="3"/>
      <c r="H25" s="3"/>
      <c r="I25" s="3"/>
      <c r="J25" s="3"/>
      <c r="K25" s="3">
        <v>2</v>
      </c>
    </row>
    <row r="26" spans="1:11" x14ac:dyDescent="0.25">
      <c r="A26" t="s">
        <v>88</v>
      </c>
      <c r="B26" s="3"/>
      <c r="C26" s="3"/>
      <c r="D26" s="3">
        <v>3</v>
      </c>
      <c r="E26" s="3">
        <v>2</v>
      </c>
      <c r="F26" s="3"/>
      <c r="G26" s="3"/>
      <c r="H26" s="3"/>
      <c r="I26" s="3"/>
      <c r="J26" s="3"/>
      <c r="K26" s="3">
        <v>5</v>
      </c>
    </row>
    <row r="27" spans="1:11" x14ac:dyDescent="0.25">
      <c r="A27" t="s">
        <v>201</v>
      </c>
      <c r="B27" s="3">
        <v>1</v>
      </c>
      <c r="C27" s="3"/>
      <c r="D27" s="3"/>
      <c r="E27" s="3"/>
      <c r="F27" s="3"/>
      <c r="G27" s="3"/>
      <c r="H27" s="3"/>
      <c r="I27" s="3"/>
      <c r="J27" s="3"/>
      <c r="K27" s="3">
        <v>1</v>
      </c>
    </row>
    <row r="28" spans="1:11" x14ac:dyDescent="0.25">
      <c r="A28" t="s">
        <v>180</v>
      </c>
      <c r="B28" s="3">
        <v>1</v>
      </c>
      <c r="C28" s="3"/>
      <c r="D28" s="3"/>
      <c r="E28" s="3"/>
      <c r="F28" s="3"/>
      <c r="G28" s="3"/>
      <c r="H28" s="3"/>
      <c r="I28" s="3"/>
      <c r="J28" s="3"/>
      <c r="K28" s="3">
        <v>1</v>
      </c>
    </row>
    <row r="29" spans="1:11" x14ac:dyDescent="0.25">
      <c r="A29" t="s">
        <v>217</v>
      </c>
      <c r="B29" s="3">
        <v>3</v>
      </c>
      <c r="C29" s="3">
        <v>19</v>
      </c>
      <c r="D29" s="3">
        <v>23</v>
      </c>
      <c r="E29" s="3">
        <v>25</v>
      </c>
      <c r="F29" s="3">
        <v>12</v>
      </c>
      <c r="G29" s="3">
        <v>8</v>
      </c>
      <c r="H29" s="3">
        <v>5</v>
      </c>
      <c r="I29" s="3">
        <v>3</v>
      </c>
      <c r="J29" s="3">
        <v>2</v>
      </c>
      <c r="K29" s="3">
        <v>100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9058-A6A2-4488-8008-7C098DDFE767}">
  <dimension ref="A2:M17"/>
  <sheetViews>
    <sheetView topLeftCell="A18" workbookViewId="0">
      <selection activeCell="E14" sqref="E14"/>
    </sheetView>
  </sheetViews>
  <sheetFormatPr defaultRowHeight="15" x14ac:dyDescent="0.25"/>
  <cols>
    <col min="1" max="1" width="20" bestFit="1" customWidth="1"/>
    <col min="2" max="2" width="16.85546875" bestFit="1" customWidth="1"/>
    <col min="3" max="3" width="12.7109375" bestFit="1" customWidth="1"/>
    <col min="4" max="9" width="13.85546875" bestFit="1" customWidth="1"/>
    <col min="10" max="10" width="8" bestFit="1" customWidth="1"/>
    <col min="11" max="11" width="11.28515625" bestFit="1" customWidth="1"/>
    <col min="12" max="12" width="12.7109375" bestFit="1" customWidth="1"/>
    <col min="13" max="16" width="13.85546875" bestFit="1" customWidth="1"/>
    <col min="17" max="17" width="23" bestFit="1" customWidth="1"/>
    <col min="18" max="18" width="19.85546875" bestFit="1" customWidth="1"/>
    <col min="19" max="23" width="13.85546875" bestFit="1" customWidth="1"/>
    <col min="24" max="24" width="23" bestFit="1" customWidth="1"/>
    <col min="25" max="25" width="19.85546875" bestFit="1" customWidth="1"/>
    <col min="26" max="29" width="13.85546875" bestFit="1" customWidth="1"/>
    <col min="30" max="30" width="23" bestFit="1" customWidth="1"/>
    <col min="31" max="31" width="19.85546875" bestFit="1" customWidth="1"/>
    <col min="32" max="37" width="13.85546875" bestFit="1" customWidth="1"/>
    <col min="38" max="38" width="23" bestFit="1" customWidth="1"/>
    <col min="39" max="39" width="19.85546875" bestFit="1" customWidth="1"/>
    <col min="40" max="43" width="13.85546875" bestFit="1" customWidth="1"/>
    <col min="44" max="44" width="8" bestFit="1" customWidth="1"/>
    <col min="45" max="45" width="23" bestFit="1" customWidth="1"/>
    <col min="46" max="46" width="19.85546875" bestFit="1" customWidth="1"/>
    <col min="47" max="47" width="13.85546875" bestFit="1" customWidth="1"/>
    <col min="48" max="48" width="23" bestFit="1" customWidth="1"/>
    <col min="49" max="49" width="20.85546875" bestFit="1" customWidth="1"/>
    <col min="50" max="50" width="24" bestFit="1" customWidth="1"/>
    <col min="51" max="51" width="21.85546875" bestFit="1" customWidth="1"/>
    <col min="52" max="52" width="25" bestFit="1" customWidth="1"/>
    <col min="53" max="53" width="21.85546875" bestFit="1" customWidth="1"/>
    <col min="54" max="54" width="25" bestFit="1" customWidth="1"/>
    <col min="55" max="55" width="11.28515625" bestFit="1" customWidth="1"/>
  </cols>
  <sheetData>
    <row r="2" spans="1:13" x14ac:dyDescent="0.25">
      <c r="M2" t="s">
        <v>270</v>
      </c>
    </row>
    <row r="3" spans="1:13" x14ac:dyDescent="0.25">
      <c r="A3" s="1" t="s">
        <v>219</v>
      </c>
      <c r="B3" s="1" t="s">
        <v>218</v>
      </c>
      <c r="M3">
        <f>CORREL('Deliverable 2 Ro'!F:F,'Deliverable 2 Ro'!G:G)</f>
        <v>0.59232567482676646</v>
      </c>
    </row>
    <row r="4" spans="1:13" x14ac:dyDescent="0.25">
      <c r="A4" s="1" t="s">
        <v>216</v>
      </c>
      <c r="B4" t="s">
        <v>248</v>
      </c>
      <c r="C4" t="s">
        <v>249</v>
      </c>
      <c r="D4" t="s">
        <v>250</v>
      </c>
      <c r="E4" t="s">
        <v>251</v>
      </c>
      <c r="F4" t="s">
        <v>252</v>
      </c>
      <c r="G4" t="s">
        <v>253</v>
      </c>
      <c r="H4" t="s">
        <v>254</v>
      </c>
      <c r="I4" t="s">
        <v>255</v>
      </c>
      <c r="J4" t="s">
        <v>256</v>
      </c>
      <c r="K4" t="s">
        <v>217</v>
      </c>
    </row>
    <row r="5" spans="1:13" x14ac:dyDescent="0.25">
      <c r="A5" s="2" t="s">
        <v>222</v>
      </c>
      <c r="B5" s="3"/>
      <c r="C5" s="3">
        <v>1</v>
      </c>
      <c r="D5" s="3"/>
      <c r="E5" s="3"/>
      <c r="F5" s="3"/>
      <c r="G5" s="3"/>
      <c r="H5" s="3"/>
      <c r="I5" s="3"/>
      <c r="J5" s="3"/>
      <c r="K5" s="3">
        <v>1</v>
      </c>
    </row>
    <row r="6" spans="1:13" x14ac:dyDescent="0.25">
      <c r="A6" s="2" t="s">
        <v>223</v>
      </c>
      <c r="B6" s="3">
        <v>1</v>
      </c>
      <c r="C6" s="3"/>
      <c r="D6" s="3"/>
      <c r="E6" s="3">
        <v>1</v>
      </c>
      <c r="F6" s="3"/>
      <c r="G6" s="3"/>
      <c r="H6" s="3"/>
      <c r="I6" s="3"/>
      <c r="J6" s="3"/>
      <c r="K6" s="3">
        <v>2</v>
      </c>
    </row>
    <row r="7" spans="1:13" x14ac:dyDescent="0.25">
      <c r="A7" s="2" t="s">
        <v>224</v>
      </c>
      <c r="B7" s="3"/>
      <c r="C7" s="3">
        <v>3</v>
      </c>
      <c r="D7" s="3">
        <v>6</v>
      </c>
      <c r="E7" s="3">
        <v>3</v>
      </c>
      <c r="F7" s="3"/>
      <c r="G7" s="3"/>
      <c r="H7" s="3"/>
      <c r="I7" s="3"/>
      <c r="J7" s="3"/>
      <c r="K7" s="3">
        <v>12</v>
      </c>
    </row>
    <row r="8" spans="1:13" x14ac:dyDescent="0.25">
      <c r="A8" s="2" t="s">
        <v>225</v>
      </c>
      <c r="B8" s="3">
        <v>2</v>
      </c>
      <c r="C8" s="3">
        <v>6</v>
      </c>
      <c r="D8" s="3">
        <v>6</v>
      </c>
      <c r="E8" s="3">
        <v>4</v>
      </c>
      <c r="F8" s="3">
        <v>3</v>
      </c>
      <c r="G8" s="3">
        <v>1</v>
      </c>
      <c r="H8" s="3"/>
      <c r="I8" s="3"/>
      <c r="J8" s="3"/>
      <c r="K8" s="3">
        <v>22</v>
      </c>
    </row>
    <row r="9" spans="1:13" x14ac:dyDescent="0.25">
      <c r="A9" s="2" t="s">
        <v>226</v>
      </c>
      <c r="B9" s="3"/>
      <c r="C9" s="3">
        <v>7</v>
      </c>
      <c r="D9" s="3">
        <v>7</v>
      </c>
      <c r="E9" s="3">
        <v>6</v>
      </c>
      <c r="F9" s="3">
        <v>2</v>
      </c>
      <c r="G9" s="3">
        <v>1</v>
      </c>
      <c r="H9" s="3"/>
      <c r="I9" s="3">
        <v>1</v>
      </c>
      <c r="J9" s="3"/>
      <c r="K9" s="3">
        <v>24</v>
      </c>
    </row>
    <row r="10" spans="1:13" x14ac:dyDescent="0.25">
      <c r="A10" s="2" t="s">
        <v>227</v>
      </c>
      <c r="B10" s="3"/>
      <c r="C10" s="3"/>
      <c r="D10" s="3">
        <v>2</v>
      </c>
      <c r="E10" s="3">
        <v>6</v>
      </c>
      <c r="F10" s="3">
        <v>5</v>
      </c>
      <c r="G10" s="3">
        <v>2</v>
      </c>
      <c r="H10" s="3">
        <v>1</v>
      </c>
      <c r="I10" s="3"/>
      <c r="J10" s="3"/>
      <c r="K10" s="3">
        <v>16</v>
      </c>
    </row>
    <row r="11" spans="1:13" x14ac:dyDescent="0.25">
      <c r="A11" s="2" t="s">
        <v>228</v>
      </c>
      <c r="B11" s="3"/>
      <c r="C11" s="3">
        <v>1</v>
      </c>
      <c r="D11" s="3">
        <v>1</v>
      </c>
      <c r="E11" s="3">
        <v>2</v>
      </c>
      <c r="F11" s="3">
        <v>2</v>
      </c>
      <c r="G11" s="3">
        <v>3</v>
      </c>
      <c r="H11" s="3">
        <v>1</v>
      </c>
      <c r="I11" s="3">
        <v>1</v>
      </c>
      <c r="J11" s="3"/>
      <c r="K11" s="3">
        <v>11</v>
      </c>
    </row>
    <row r="12" spans="1:13" x14ac:dyDescent="0.25">
      <c r="A12" s="2" t="s">
        <v>229</v>
      </c>
      <c r="B12" s="3"/>
      <c r="C12" s="3">
        <v>1</v>
      </c>
      <c r="D12" s="3">
        <v>1</v>
      </c>
      <c r="E12" s="3">
        <v>2</v>
      </c>
      <c r="F12" s="3"/>
      <c r="G12" s="3"/>
      <c r="H12" s="3">
        <v>1</v>
      </c>
      <c r="I12" s="3">
        <v>1</v>
      </c>
      <c r="J12" s="3">
        <v>1</v>
      </c>
      <c r="K12" s="3">
        <v>7</v>
      </c>
    </row>
    <row r="13" spans="1:13" x14ac:dyDescent="0.25">
      <c r="A13" s="2" t="s">
        <v>230</v>
      </c>
      <c r="B13" s="3"/>
      <c r="C13" s="3"/>
      <c r="D13" s="3"/>
      <c r="E13" s="3">
        <v>1</v>
      </c>
      <c r="F13" s="3"/>
      <c r="G13" s="3"/>
      <c r="H13" s="3">
        <v>1</v>
      </c>
      <c r="I13" s="3"/>
      <c r="J13" s="3"/>
      <c r="K13" s="3">
        <v>2</v>
      </c>
    </row>
    <row r="14" spans="1:13" x14ac:dyDescent="0.25">
      <c r="A14" s="2" t="s">
        <v>231</v>
      </c>
      <c r="B14" s="3"/>
      <c r="C14" s="3"/>
      <c r="D14" s="3"/>
      <c r="E14" s="3"/>
      <c r="F14" s="3"/>
      <c r="G14" s="3"/>
      <c r="H14" s="3">
        <v>1</v>
      </c>
      <c r="I14" s="3"/>
      <c r="J14" s="3"/>
      <c r="K14" s="3">
        <v>1</v>
      </c>
    </row>
    <row r="15" spans="1:13" x14ac:dyDescent="0.25">
      <c r="A15" s="2" t="s">
        <v>232</v>
      </c>
      <c r="B15" s="3"/>
      <c r="C15" s="3"/>
      <c r="D15" s="3"/>
      <c r="E15" s="3"/>
      <c r="F15" s="3"/>
      <c r="G15" s="3"/>
      <c r="H15" s="3"/>
      <c r="I15" s="3"/>
      <c r="J15" s="3">
        <v>1</v>
      </c>
      <c r="K15" s="3">
        <v>1</v>
      </c>
    </row>
    <row r="16" spans="1:13" x14ac:dyDescent="0.25">
      <c r="A16" s="2" t="s">
        <v>233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>
        <v>1</v>
      </c>
    </row>
    <row r="17" spans="1:11" x14ac:dyDescent="0.25">
      <c r="A17" s="2" t="s">
        <v>217</v>
      </c>
      <c r="B17" s="3">
        <v>3</v>
      </c>
      <c r="C17" s="3">
        <v>19</v>
      </c>
      <c r="D17" s="3">
        <v>23</v>
      </c>
      <c r="E17" s="3">
        <v>25</v>
      </c>
      <c r="F17" s="3">
        <v>12</v>
      </c>
      <c r="G17" s="3">
        <v>8</v>
      </c>
      <c r="H17" s="3">
        <v>5</v>
      </c>
      <c r="I17" s="3">
        <v>3</v>
      </c>
      <c r="J17" s="3">
        <v>2</v>
      </c>
      <c r="K17" s="3">
        <v>100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Deliverable 2 Ro</vt:lpstr>
      <vt:lpstr>Club(v1)</vt:lpstr>
      <vt:lpstr>Age(v2)</vt:lpstr>
      <vt:lpstr>Value(v3)</vt:lpstr>
      <vt:lpstr>Wage(v4)</vt:lpstr>
      <vt:lpstr>V2 and V3</vt:lpstr>
      <vt:lpstr>V2 and V4</vt:lpstr>
      <vt:lpstr>V3 and 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</dc:creator>
  <cp:lastModifiedBy>Rohith Reddy Thumma</cp:lastModifiedBy>
  <dcterms:created xsi:type="dcterms:W3CDTF">2025-02-22T01:52:34Z</dcterms:created>
  <dcterms:modified xsi:type="dcterms:W3CDTF">2025-02-22T05:04:08Z</dcterms:modified>
</cp:coreProperties>
</file>